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98D72EF8-E964-4A53-B763-661E7CDF00FE}" xr6:coauthVersionLast="47" xr6:coauthVersionMax="47" xr10:uidLastSave="{00000000-0000-0000-0000-000000000000}"/>
  <bookViews>
    <workbookView xWindow="-20268" yWindow="60" windowWidth="20376" windowHeight="12216" tabRatio="799" activeTab="8"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state="hidden" r:id="rId11"/>
    <sheet name="Expense by street" sheetId="18" state="hidden" r:id="rId12"/>
    <sheet name="Expense by type" sheetId="19" state="hidden" r:id="rId13"/>
    <sheet name="Expense by month" sheetId="20" state="hidden" r:id="rId14"/>
    <sheet name="Expense Dashboard" sheetId="7" r:id="rId15"/>
  </sheets>
  <definedNames>
    <definedName name="Slicer_Year">#N/A</definedName>
    <definedName name="Slicer_Year1">#N/A</definedName>
  </definedNames>
  <calcPr calcId="191029"/>
  <pivotCaches>
    <pivotCache cacheId="4872" r:id="rId16"/>
    <pivotCache cacheId="4879"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<sst xmlns="http://schemas.openxmlformats.org/spreadsheetml/2006/main" count="265" uniqueCount="41">
  <si>
    <t>Month</t>
  </si>
  <si>
    <t>Address</t>
  </si>
  <si>
    <t>Year</t>
  </si>
  <si>
    <t>Amount</t>
  </si>
  <si>
    <t>Late</t>
  </si>
  <si>
    <t>Late fees</t>
  </si>
  <si>
    <t>City</t>
  </si>
  <si>
    <t>Zip code</t>
  </si>
  <si>
    <t>State</t>
  </si>
  <si>
    <t>ID</t>
  </si>
  <si>
    <t>January</t>
  </si>
  <si>
    <t>8888 Atkinson Drive Apt. 1</t>
  </si>
  <si>
    <t>No</t>
  </si>
  <si>
    <t>March</t>
  </si>
  <si>
    <t>May</t>
  </si>
  <si>
    <t>June</t>
  </si>
  <si>
    <t>Zip Code</t>
  </si>
  <si>
    <t>Type of Expenses</t>
  </si>
  <si>
    <t>Receipt/ invoice number</t>
  </si>
  <si>
    <t>Record ID</t>
  </si>
  <si>
    <t>February</t>
  </si>
  <si>
    <t>Tallahassee</t>
  </si>
  <si>
    <t>Florida</t>
  </si>
  <si>
    <t>8888 Atkinson Drive Apt. 2</t>
  </si>
  <si>
    <t>Row Labels</t>
  </si>
  <si>
    <t>Grand Total</t>
  </si>
  <si>
    <t>Sum of Amount</t>
  </si>
  <si>
    <t>Sum of Late fees</t>
  </si>
  <si>
    <t>Count of Late</t>
  </si>
  <si>
    <t>April</t>
  </si>
  <si>
    <t>July</t>
  </si>
  <si>
    <t>August</t>
  </si>
  <si>
    <t>September</t>
  </si>
  <si>
    <t>October</t>
  </si>
  <si>
    <t>November</t>
  </si>
  <si>
    <t>December</t>
  </si>
  <si>
    <t>Yes</t>
  </si>
  <si>
    <t>9999 Crawford Trace</t>
  </si>
  <si>
    <t>8888 Atkinson Drive Apt. 3</t>
  </si>
  <si>
    <t>Fix toilet</t>
  </si>
  <si>
    <t>Cut tree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</si>
</sst>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409]* #,##0.00_);_([$$-409]* \(#,##0.00\);_([$$-409]* &quot;-&quot;??_);_(@_)"/>
    <numFmt numFmtId="165" formatCode="&quot;$&quot;#,##0.00"/>
  </numFmts>
  <fonts count="6"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6">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xf numFmtId="1" fontId="4" fillId="0" borderId="0" xfId="0" applyNumberFormat="1" applyFont="1"/>
    <xf numFmtId="1" fontId="0" fillId="0" borderId="0" xfId="0" applyNumberFormat="1"/>
  </cellXfs>
  <cellStyles count="2">
    <cellStyle name="Currency" xfId="1" builtinId="4"/>
    <cellStyle name="Normal" xfId="0" builtinId="0"/>
  </cellStyles>
  <dxfs count="9">
    <dxf>
      <numFmt numFmtId="1" formatCode="0"/>
    </dxf>
    <dxf>
      <numFmt numFmtId="30" formatCode="@"/>
    </dxf>
    <dxf>
      <font>
        <b/>
        <i val="0"/>
        <strike val="0"/>
        <condense val="0"/>
        <extend val="0"/>
        <outline val="0"/>
        <shadow val="0"/>
        <u val="none"/>
        <vertAlign val="baseline"/>
        <sz val="11"/>
        <color theme="1"/>
        <name val="Calibri"/>
        <family val="2"/>
        <scheme val="minor"/>
      </font>
    </dxf>
    <dxf>
      <numFmt numFmtId="165" formatCode="&quot;$&quot;#,##0.00"/>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font>
        <b/>
        <i val="0"/>
        <strike val="0"/>
        <condense val="0"/>
        <extend val="0"/>
        <outline val="0"/>
        <shadow val="0"/>
        <u val="none"/>
        <vertAlign val="baseline"/>
        <sz val="11"/>
        <color theme="1"/>
        <name val="Calibri"/>
        <family val="2"/>
        <scheme val="minor"/>
      </font>
    </dxf>
    <dxf>
      <font>
        <sz val="16"/>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Revenue Style" pivot="0" table="0" count="10" xr9:uid="{4312E829-E88E-4D98-9A49-6DA1C66C1EDE}">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Revenue Style">
        <x14:slicerStyle name="Revenu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2021</c:v>
                </c:pt>
              </c:strCache>
            </c:strRef>
          </c:cat>
          <c:val>
            <c:numRef>
              <c:f>'Rent by year'!$B$2:$B$3</c:f>
              <c:numCache>
                <c:formatCode>General</c:formatCode>
                <c:ptCount val="1"/>
                <c:pt idx="0">
                  <c:v>31500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month'!$A$2:$A$14</c:f>
              <c:strCache>
                <c:ptCount val="12"/>
                <c:pt idx="0">
                  <c:v>January</c:v>
                </c:pt>
                <c:pt idx="1">
                  <c:v>February</c:v>
                </c:pt>
                <c:pt idx="2">
                  <c:v>March</c:v>
                </c:pt>
                <c:pt idx="3">
                  <c:v>June</c:v>
                </c:pt>
                <c:pt idx="4">
                  <c:v>May</c:v>
                </c:pt>
                <c:pt idx="5">
                  <c:v>April</c:v>
                </c:pt>
                <c:pt idx="6">
                  <c:v>July</c:v>
                </c:pt>
                <c:pt idx="7">
                  <c:v>August</c:v>
                </c:pt>
                <c:pt idx="8">
                  <c:v>September</c:v>
                </c:pt>
                <c:pt idx="9">
                  <c:v>October</c:v>
                </c:pt>
                <c:pt idx="10">
                  <c:v>November</c:v>
                </c:pt>
                <c:pt idx="11">
                  <c:v>December</c:v>
                </c:pt>
              </c:strCache>
            </c:strRef>
          </c:cat>
          <c:val>
            <c:numRef>
              <c:f>'Rent by month'!$B$2:$B$14</c:f>
              <c:numCache>
                <c:formatCode>General</c:formatCode>
                <c:ptCount val="12"/>
                <c:pt idx="0">
                  <c:v>2700</c:v>
                </c:pt>
                <c:pt idx="1">
                  <c:v>2700</c:v>
                </c:pt>
                <c:pt idx="2">
                  <c:v>2700</c:v>
                </c:pt>
                <c:pt idx="3">
                  <c:v>2600</c:v>
                </c:pt>
                <c:pt idx="4">
                  <c:v>2700</c:v>
                </c:pt>
                <c:pt idx="5">
                  <c:v>2700</c:v>
                </c:pt>
                <c:pt idx="6">
                  <c:v>1500</c:v>
                </c:pt>
                <c:pt idx="7">
                  <c:v>1600</c:v>
                </c:pt>
                <c:pt idx="8">
                  <c:v>3200</c:v>
                </c:pt>
                <c:pt idx="9">
                  <c:v>2700</c:v>
                </c:pt>
                <c:pt idx="10">
                  <c:v>3200</c:v>
                </c:pt>
                <c:pt idx="11">
                  <c:v>3200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street'!$G$16:$G$19</c:f>
              <c:strCache>
                <c:ptCount val="3"/>
                <c:pt idx="0">
                  <c:v>8888 Atkinson Drive Apt. 1</c:v>
                </c:pt>
                <c:pt idx="1">
                  <c:v>9999 Crawford Trace</c:v>
                </c:pt>
                <c:pt idx="2">
                  <c:v>8888 Atkinson Drive Apt. 2</c:v>
                </c:pt>
              </c:strCache>
            </c:strRef>
          </c:cat>
          <c:val>
            <c:numRef>
              <c:f>'Rent by street'!$H$16:$H$19</c:f>
              <c:numCache>
                <c:formatCode>General</c:formatCode>
                <c:ptCount val="3"/>
                <c:pt idx="0">
                  <c:v>13300</c:v>
                </c:pt>
                <c:pt idx="1">
                  <c:v>11000</c:v>
                </c:pt>
                <c:pt idx="2">
                  <c:v>7200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code'!$A$2:$A$4</c:f>
              <c:strCache>
                <c:ptCount val="2"/>
                <c:pt idx="0">
                  <c:v>32304</c:v>
                </c:pt>
                <c:pt idx="1">
                  <c:v>32310</c:v>
                </c:pt>
              </c:strCache>
            </c:strRef>
          </c:cat>
          <c:val>
            <c:numRef>
              <c:f>'Rent by zip code'!$B$2:$B$4</c:f>
              <c:numCache>
                <c:formatCode>General</c:formatCode>
                <c:ptCount val="2"/>
                <c:pt idx="0">
                  <c:v>20500</c:v>
                </c:pt>
                <c:pt idx="1">
                  <c:v>11000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paperSize="3" orientation="landscape"/>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fees'!$G$19:$G$22</c:f>
              <c:strCache>
                <c:ptCount val="3"/>
                <c:pt idx="0">
                  <c:v>8888 Atkinson Drive Apt. 1</c:v>
                </c:pt>
                <c:pt idx="1">
                  <c:v>9999 Crawford Trace</c:v>
                </c:pt>
                <c:pt idx="2">
                  <c:v>8888 Atkinson Drive Apt. 2</c:v>
                </c:pt>
              </c:strCache>
            </c:strRef>
          </c:cat>
          <c:val>
            <c:numRef>
              <c:f>'Late fees'!$H$19:$H$22</c:f>
              <c:numCache>
                <c:formatCode>General</c:formatCode>
                <c:ptCount val="3"/>
                <c:pt idx="0">
                  <c:v>40</c:v>
                </c:pt>
                <c:pt idx="1">
                  <c:v>0</c:v>
                </c:pt>
                <c:pt idx="2">
                  <c:v>80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fees'!$A$2:$A$4</c:f>
              <c:strCache>
                <c:ptCount val="2"/>
                <c:pt idx="0">
                  <c:v>No</c:v>
                </c:pt>
                <c:pt idx="1">
                  <c:v>Yes</c:v>
                </c:pt>
              </c:strCache>
            </c:strRef>
          </c:cat>
          <c:val>
            <c:numRef>
              <c:f>'Yes No late fees'!$B$2:$B$4</c:f>
              <c:numCache>
                <c:formatCode>General</c:formatCode>
                <c:ptCount val="2"/>
                <c:pt idx="0">
                  <c:v>34</c:v>
                </c:pt>
                <c:pt idx="1">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zipcode'!$O$20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zipcode'!$N$21:$N$22</c:f>
              <c:strCache>
                <c:ptCount val="1"/>
                <c:pt idx="0">
                  <c:v>32304</c:v>
                </c:pt>
              </c:strCache>
            </c:strRef>
          </c:cat>
          <c:val>
            <c:numRef>
              <c:f>'Expense by zipcode'!$O$21:$O$22</c:f>
              <c:numCache>
                <c:formatCode>General</c:formatCode>
                <c:ptCount val="1"/>
                <c:pt idx="0">
                  <c:v>3000</c:v>
                </c:pt>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axId val="1438944496"/>
        <c:axId val="1438938256"/>
      </c:barChart>
      <c:catAx>
        <c:axId val="143894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street'!$G$19:$G$20</c:f>
              <c:strCache>
                <c:ptCount val="1"/>
                <c:pt idx="0">
                  <c:v>8888 Atkinson Drive Apt. 3</c:v>
                </c:pt>
              </c:strCache>
            </c:strRef>
          </c:cat>
          <c:val>
            <c:numRef>
              <c:f>'Expense by street'!$H$19:$H$20</c:f>
              <c:numCache>
                <c:formatCode>General</c:formatCode>
                <c:ptCount val="1"/>
                <c:pt idx="0">
                  <c:v>3000</c:v>
                </c:pt>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type'!$M$18:$M$20</c:f>
              <c:strCache>
                <c:ptCount val="2"/>
                <c:pt idx="0">
                  <c:v>Cut tree</c:v>
                </c:pt>
                <c:pt idx="1">
                  <c:v>Fix toilet</c:v>
                </c:pt>
              </c:strCache>
            </c:strRef>
          </c:cat>
          <c:val>
            <c:numRef>
              <c:f>'Expense by type'!$N$18:$N$20</c:f>
              <c:numCache>
                <c:formatCode>General</c:formatCode>
                <c:ptCount val="2"/>
                <c:pt idx="0">
                  <c:v>2000</c:v>
                </c:pt>
                <c:pt idx="1">
                  <c:v>1000</c:v>
                </c:pt>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month'!$N$21:$N$23</c:f>
              <c:strCache>
                <c:ptCount val="2"/>
                <c:pt idx="0">
                  <c:v>March</c:v>
                </c:pt>
                <c:pt idx="1">
                  <c:v>August</c:v>
                </c:pt>
              </c:strCache>
            </c:strRef>
          </c:cat>
          <c:val>
            <c:numRef>
              <c:f>'Expense by month'!$O$21:$O$23</c:f>
              <c:numCache>
                <c:formatCode>General</c:formatCode>
                <c:ptCount val="2"/>
                <c:pt idx="0">
                  <c:v>1000</c:v>
                </c:pt>
                <c:pt idx="1">
                  <c:v>2000</c:v>
                </c:pt>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17.png"/><Relationship Id="rId3" Type="http://schemas.openxmlformats.org/officeDocument/2006/relationships/chart" Target="../charts/chart9.xml"/><Relationship Id="rId7" Type="http://schemas.openxmlformats.org/officeDocument/2006/relationships/image" Target="../media/image1.png"/><Relationship Id="rId12" Type="http://schemas.openxmlformats.org/officeDocument/2006/relationships/image" Target="../media/image16.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5.png"/><Relationship Id="rId5" Type="http://schemas.openxmlformats.org/officeDocument/2006/relationships/image" Target="../media/image12.svg"/><Relationship Id="rId10" Type="http://schemas.openxmlformats.org/officeDocument/2006/relationships/image" Target="../media/image14.svg"/><Relationship Id="rId4" Type="http://schemas.openxmlformats.org/officeDocument/2006/relationships/image" Target="../media/image11.png"/><Relationship Id="rId9" Type="http://schemas.openxmlformats.org/officeDocument/2006/relationships/image" Target="../media/image13.png"/><Relationship Id="rId1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Revenue Data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8</xdr:row>
          <xdr:rowOff>15240</xdr:rowOff>
        </xdr:from>
        <xdr:to>
          <xdr:col>4</xdr:col>
          <xdr:colOff>99060</xdr:colOff>
          <xdr:row>11</xdr:row>
          <xdr:rowOff>160020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Open Revenue Dashboard</a:t>
              </a:r>
            </a:p>
          </xdr:txBody>
        </xdr:sp>
        <xdr:clientData fPrintsWithSheet="0"/>
      </xdr:twoCellAnchor>
    </mc:Choice>
    <mc:Fallback/>
  </mc:AlternateContent>
  <xdr:twoCellAnchor>
    <xdr:from>
      <xdr:col>1</xdr:col>
      <xdr:colOff>3606</xdr:colOff>
      <xdr:row>0</xdr:row>
      <xdr:rowOff>86423</xdr:rowOff>
    </xdr:from>
    <xdr:to>
      <xdr:col>7</xdr:col>
      <xdr:colOff>527538</xdr:colOff>
      <xdr:row>3</xdr:row>
      <xdr:rowOff>91187</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86423"/>
          <a:ext cx="4264659" cy="548288"/>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Expense Data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434340</xdr:colOff>
          <xdr:row>8</xdr:row>
          <xdr:rowOff>15240</xdr:rowOff>
        </xdr:from>
        <xdr:to>
          <xdr:col>7</xdr:col>
          <xdr:colOff>480060</xdr:colOff>
          <xdr:row>11</xdr:row>
          <xdr:rowOff>160020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Open Expense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403154</xdr:colOff>
      <xdr:row>2</xdr:row>
      <xdr:rowOff>25269</xdr:rowOff>
    </xdr:from>
    <xdr:to>
      <xdr:col>19</xdr:col>
      <xdr:colOff>428554</xdr:colOff>
      <xdr:row>11</xdr:row>
      <xdr:rowOff>109765</xdr:rowOff>
    </xdr:to>
    <xdr:sp macro="" textlink="">
      <xdr:nvSpPr>
        <xdr:cNvPr id="27" name="Rectangle 26">
          <a:extLst>
            <a:ext uri="{FF2B5EF4-FFF2-40B4-BE49-F238E27FC236}">
              <a16:creationId xmlns:a16="http://schemas.microsoft.com/office/drawing/2014/main" id="{00000000-0008-0000-0800-00001B000000}"/>
            </a:ext>
          </a:extLst>
        </xdr:cNvPr>
        <xdr:cNvSpPr/>
      </xdr:nvSpPr>
      <xdr:spPr>
        <a:xfrm>
          <a:off x="9547154" y="391029"/>
          <a:ext cx="2463800" cy="173041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7146</xdr:colOff>
      <xdr:row>11</xdr:row>
      <xdr:rowOff>141428</xdr:rowOff>
    </xdr:from>
    <xdr:to>
      <xdr:col>19</xdr:col>
      <xdr:colOff>427770</xdr:colOff>
      <xdr:row>24</xdr:row>
      <xdr:rowOff>91440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6103146" y="2153108"/>
          <a:ext cx="5907024" cy="232745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149706</xdr:colOff>
      <xdr:row>11</xdr:row>
      <xdr:rowOff>133573</xdr:rowOff>
    </xdr:from>
    <xdr:to>
      <xdr:col>9</xdr:col>
      <xdr:colOff>570330</xdr:colOff>
      <xdr:row>24</xdr:row>
      <xdr:rowOff>87853</xdr:rowOff>
    </xdr:to>
    <xdr:sp macro="" textlink="">
      <xdr:nvSpPr>
        <xdr:cNvPr id="10" name="Rectangle 9">
          <a:extLst>
            <a:ext uri="{FF2B5EF4-FFF2-40B4-BE49-F238E27FC236}">
              <a16:creationId xmlns:a16="http://schemas.microsoft.com/office/drawing/2014/main" id="{00000000-0008-0000-0800-00000A000000}"/>
            </a:ext>
          </a:extLst>
        </xdr:cNvPr>
        <xdr:cNvSpPr/>
      </xdr:nvSpPr>
      <xdr:spPr>
        <a:xfrm>
          <a:off x="149706" y="2145253"/>
          <a:ext cx="5907024" cy="233172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63500</xdr:colOff>
      <xdr:row>2</xdr:row>
      <xdr:rowOff>15491</xdr:rowOff>
    </xdr:from>
    <xdr:to>
      <xdr:col>15</xdr:col>
      <xdr:colOff>328676</xdr:colOff>
      <xdr:row>11</xdr:row>
      <xdr:rowOff>97787</xdr:rowOff>
    </xdr:to>
    <xdr:sp macro="" textlink="">
      <xdr:nvSpPr>
        <xdr:cNvPr id="9" name="Rectangle 8">
          <a:extLst>
            <a:ext uri="{FF2B5EF4-FFF2-40B4-BE49-F238E27FC236}">
              <a16:creationId xmlns:a16="http://schemas.microsoft.com/office/drawing/2014/main" id="{00000000-0008-0000-0800-000009000000}"/>
            </a:ext>
          </a:extLst>
        </xdr:cNvPr>
        <xdr:cNvSpPr/>
      </xdr:nvSpPr>
      <xdr:spPr>
        <a:xfrm>
          <a:off x="5549900" y="381251"/>
          <a:ext cx="3922776" cy="172821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379161</xdr:colOff>
      <xdr:row>2</xdr:row>
      <xdr:rowOff>7824</xdr:rowOff>
    </xdr:from>
    <xdr:to>
      <xdr:col>9</xdr:col>
      <xdr:colOff>33020</xdr:colOff>
      <xdr:row>11</xdr:row>
      <xdr:rowOff>91439</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1598361" y="373584"/>
          <a:ext cx="3921059" cy="172953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17780</xdr:rowOff>
    </xdr:from>
    <xdr:to>
      <xdr:col>19</xdr:col>
      <xdr:colOff>432062</xdr:colOff>
      <xdr:row>1</xdr:row>
      <xdr:rowOff>162560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0" y="17780"/>
          <a:ext cx="12014462" cy="32766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0</xdr:col>
      <xdr:colOff>197800</xdr:colOff>
      <xdr:row>12</xdr:row>
      <xdr:rowOff>9615</xdr:rowOff>
    </xdr:from>
    <xdr:to>
      <xdr:col>2</xdr:col>
      <xdr:colOff>473375</xdr:colOff>
      <xdr:row>13</xdr:row>
      <xdr:rowOff>153947</xdr:rowOff>
    </xdr:to>
    <xdr:sp macro="" textlink="">
      <xdr:nvSpPr>
        <xdr:cNvPr id="3" name="Flowchart: Terminator 2">
          <a:extLst>
            <a:ext uri="{FF2B5EF4-FFF2-40B4-BE49-F238E27FC236}">
              <a16:creationId xmlns:a16="http://schemas.microsoft.com/office/drawing/2014/main" id="{00000000-0008-0000-0800-000003000000}"/>
            </a:ext>
          </a:extLst>
        </xdr:cNvPr>
        <xdr:cNvSpPr/>
      </xdr:nvSpPr>
      <xdr:spPr>
        <a:xfrm>
          <a:off x="197800" y="2204175"/>
          <a:ext cx="1494775" cy="327212"/>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2</xdr:col>
      <xdr:colOff>442426</xdr:colOff>
      <xdr:row>2</xdr:row>
      <xdr:rowOff>42059</xdr:rowOff>
    </xdr:from>
    <xdr:to>
      <xdr:col>5</xdr:col>
      <xdr:colOff>109257</xdr:colOff>
      <xdr:row>4</xdr:row>
      <xdr:rowOff>3510</xdr:rowOff>
    </xdr:to>
    <xdr:sp macro="" textlink="">
      <xdr:nvSpPr>
        <xdr:cNvPr id="4" name="Flowchart: Terminator 3">
          <a:extLst>
            <a:ext uri="{FF2B5EF4-FFF2-40B4-BE49-F238E27FC236}">
              <a16:creationId xmlns:a16="http://schemas.microsoft.com/office/drawing/2014/main" id="{00000000-0008-0000-0800-000004000000}"/>
            </a:ext>
          </a:extLst>
        </xdr:cNvPr>
        <xdr:cNvSpPr/>
      </xdr:nvSpPr>
      <xdr:spPr>
        <a:xfrm>
          <a:off x="1661626" y="407819"/>
          <a:ext cx="1495631" cy="327211"/>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41365</xdr:colOff>
      <xdr:row>12</xdr:row>
      <xdr:rowOff>6658</xdr:rowOff>
    </xdr:from>
    <xdr:to>
      <xdr:col>12</xdr:col>
      <xdr:colOff>317797</xdr:colOff>
      <xdr:row>13</xdr:row>
      <xdr:rowOff>147404</xdr:rowOff>
    </xdr:to>
    <xdr:sp macro="" textlink="">
      <xdr:nvSpPr>
        <xdr:cNvPr id="5" name="Flowchart: Terminator 4">
          <a:extLst>
            <a:ext uri="{FF2B5EF4-FFF2-40B4-BE49-F238E27FC236}">
              <a16:creationId xmlns:a16="http://schemas.microsoft.com/office/drawing/2014/main" id="{00000000-0008-0000-0800-000005000000}"/>
            </a:ext>
          </a:extLst>
        </xdr:cNvPr>
        <xdr:cNvSpPr/>
      </xdr:nvSpPr>
      <xdr:spPr>
        <a:xfrm>
          <a:off x="6137365" y="2201218"/>
          <a:ext cx="1495632" cy="32362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9</xdr:col>
      <xdr:colOff>96108</xdr:colOff>
      <xdr:row>2</xdr:row>
      <xdr:rowOff>54436</xdr:rowOff>
    </xdr:from>
    <xdr:to>
      <xdr:col>11</xdr:col>
      <xdr:colOff>372540</xdr:colOff>
      <xdr:row>4</xdr:row>
      <xdr:rowOff>15887</xdr:rowOff>
    </xdr:to>
    <xdr:sp macro="" textlink="">
      <xdr:nvSpPr>
        <xdr:cNvPr id="6" name="Flowchart: Terminator 5">
          <a:extLst>
            <a:ext uri="{FF2B5EF4-FFF2-40B4-BE49-F238E27FC236}">
              <a16:creationId xmlns:a16="http://schemas.microsoft.com/office/drawing/2014/main" id="{00000000-0008-0000-0800-000006000000}"/>
            </a:ext>
          </a:extLst>
        </xdr:cNvPr>
        <xdr:cNvSpPr/>
      </xdr:nvSpPr>
      <xdr:spPr>
        <a:xfrm>
          <a:off x="5582508" y="420196"/>
          <a:ext cx="1495632" cy="327211"/>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0</xdr:col>
      <xdr:colOff>229496</xdr:colOff>
      <xdr:row>15</xdr:row>
      <xdr:rowOff>114301</xdr:rowOff>
    </xdr:from>
    <xdr:to>
      <xdr:col>9</xdr:col>
      <xdr:colOff>312420</xdr:colOff>
      <xdr:row>25</xdr:row>
      <xdr:rowOff>7621</xdr:rowOff>
    </xdr:to>
    <xdr:graphicFrame macro="">
      <xdr:nvGraphicFramePr>
        <xdr:cNvPr id="12" name="Chart 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190500</xdr:colOff>
      <xdr:row>15</xdr:row>
      <xdr:rowOff>83820</xdr:rowOff>
    </xdr:from>
    <xdr:to>
      <xdr:col>19</xdr:col>
      <xdr:colOff>312420</xdr:colOff>
      <xdr:row>23</xdr:row>
      <xdr:rowOff>167640</xdr:rowOff>
    </xdr:to>
    <xdr:graphicFrame macro="">
      <xdr:nvGraphicFramePr>
        <xdr:cNvPr id="13" name="Chart 1">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410635</xdr:colOff>
      <xdr:row>5</xdr:row>
      <xdr:rowOff>172666</xdr:rowOff>
    </xdr:from>
    <xdr:to>
      <xdr:col>8</xdr:col>
      <xdr:colOff>469901</xdr:colOff>
      <xdr:row>11</xdr:row>
      <xdr:rowOff>84667</xdr:rowOff>
    </xdr:to>
    <xdr:graphicFrame macro="">
      <xdr:nvGraphicFramePr>
        <xdr:cNvPr id="14" name="Chart 1">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2</xdr:col>
      <xdr:colOff>83819</xdr:colOff>
      <xdr:row>11</xdr:row>
      <xdr:rowOff>0</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6298" y="588609"/>
              <a:ext cx="1223006" cy="1398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66039</xdr:colOff>
      <xdr:row>4</xdr:row>
      <xdr:rowOff>98613</xdr:rowOff>
    </xdr:from>
    <xdr:to>
      <xdr:col>15</xdr:col>
      <xdr:colOff>452120</xdr:colOff>
      <xdr:row>11</xdr:row>
      <xdr:rowOff>76200</xdr:rowOff>
    </xdr:to>
    <xdr:graphicFrame macro="">
      <xdr:nvGraphicFramePr>
        <xdr:cNvPr id="17" name="Chart 1">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593352</xdr:colOff>
      <xdr:row>12</xdr:row>
      <xdr:rowOff>21647</xdr:rowOff>
    </xdr:from>
    <xdr:to>
      <xdr:col>1</xdr:col>
      <xdr:colOff>281898</xdr:colOff>
      <xdr:row>13</xdr:row>
      <xdr:rowOff>128326</xdr:rowOff>
    </xdr:to>
    <xdr:pic>
      <xdr:nvPicPr>
        <xdr:cNvPr id="19" name="Graphic 18" descr="Daily calendar with solid fill">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93352" y="2216207"/>
          <a:ext cx="298146" cy="289559"/>
        </a:xfrm>
        <a:prstGeom prst="rect">
          <a:avLst/>
        </a:prstGeom>
      </xdr:spPr>
    </xdr:pic>
    <xdr:clientData/>
  </xdr:twoCellAnchor>
  <xdr:twoCellAnchor editAs="oneCell">
    <xdr:from>
      <xdr:col>9</xdr:col>
      <xdr:colOff>404250</xdr:colOff>
      <xdr:row>2</xdr:row>
      <xdr:rowOff>76511</xdr:rowOff>
    </xdr:from>
    <xdr:to>
      <xdr:col>10</xdr:col>
      <xdr:colOff>71419</xdr:colOff>
      <xdr:row>3</xdr:row>
      <xdr:rowOff>160876</xdr:rowOff>
    </xdr:to>
    <xdr:pic>
      <xdr:nvPicPr>
        <xdr:cNvPr id="21" name="Graphic 20" descr="Clock with solid fill">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890650" y="442271"/>
          <a:ext cx="276769" cy="267245"/>
        </a:xfrm>
        <a:prstGeom prst="rect">
          <a:avLst/>
        </a:prstGeom>
      </xdr:spPr>
    </xdr:pic>
    <xdr:clientData/>
  </xdr:twoCellAnchor>
  <xdr:twoCellAnchor editAs="oneCell">
    <xdr:from>
      <xdr:col>10</xdr:col>
      <xdr:colOff>389489</xdr:colOff>
      <xdr:row>12</xdr:row>
      <xdr:rowOff>32961</xdr:rowOff>
    </xdr:from>
    <xdr:to>
      <xdr:col>11</xdr:col>
      <xdr:colOff>80206</xdr:colOff>
      <xdr:row>13</xdr:row>
      <xdr:rowOff>152703</xdr:rowOff>
    </xdr:to>
    <xdr:pic>
      <xdr:nvPicPr>
        <xdr:cNvPr id="23" name="Graphic 22" descr="Signpost with solid fill">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485489" y="2227521"/>
          <a:ext cx="300317" cy="302622"/>
        </a:xfrm>
        <a:prstGeom prst="rect">
          <a:avLst/>
        </a:prstGeom>
      </xdr:spPr>
    </xdr:pic>
    <xdr:clientData/>
  </xdr:twoCellAnchor>
  <xdr:twoCellAnchor editAs="oneCell">
    <xdr:from>
      <xdr:col>3</xdr:col>
      <xdr:colOff>144948</xdr:colOff>
      <xdr:row>2</xdr:row>
      <xdr:rowOff>61058</xdr:rowOff>
    </xdr:from>
    <xdr:to>
      <xdr:col>3</xdr:col>
      <xdr:colOff>456152</xdr:colOff>
      <xdr:row>4</xdr:row>
      <xdr:rowOff>6629</xdr:rowOff>
    </xdr:to>
    <xdr:pic>
      <xdr:nvPicPr>
        <xdr:cNvPr id="25" name="Graphic 24" descr="Map compass with solid fill">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73748" y="426818"/>
          <a:ext cx="311204" cy="311331"/>
        </a:xfrm>
        <a:prstGeom prst="rect">
          <a:avLst/>
        </a:prstGeom>
      </xdr:spPr>
    </xdr:pic>
    <xdr:clientData/>
  </xdr:twoCellAnchor>
  <xdr:twoCellAnchor>
    <xdr:from>
      <xdr:col>16</xdr:col>
      <xdr:colOff>434340</xdr:colOff>
      <xdr:row>4</xdr:row>
      <xdr:rowOff>73660</xdr:rowOff>
    </xdr:from>
    <xdr:to>
      <xdr:col>19</xdr:col>
      <xdr:colOff>307340</xdr:colOff>
      <xdr:row>11</xdr:row>
      <xdr:rowOff>124459</xdr:rowOff>
    </xdr:to>
    <xdr:graphicFrame macro="">
      <xdr:nvGraphicFramePr>
        <xdr:cNvPr id="26" name="Chart 1">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430555</xdr:colOff>
      <xdr:row>2</xdr:row>
      <xdr:rowOff>73288</xdr:rowOff>
    </xdr:from>
    <xdr:to>
      <xdr:col>18</xdr:col>
      <xdr:colOff>96121</xdr:colOff>
      <xdr:row>3</xdr:row>
      <xdr:rowOff>172996</xdr:rowOff>
    </xdr:to>
    <xdr:sp macro="" textlink="">
      <xdr:nvSpPr>
        <xdr:cNvPr id="28" name="Flowchart: Terminator 27">
          <a:extLst>
            <a:ext uri="{FF2B5EF4-FFF2-40B4-BE49-F238E27FC236}">
              <a16:creationId xmlns:a16="http://schemas.microsoft.com/office/drawing/2014/main" id="{00000000-0008-0000-0800-00001C000000}"/>
            </a:ext>
          </a:extLst>
        </xdr:cNvPr>
        <xdr:cNvSpPr/>
      </xdr:nvSpPr>
      <xdr:spPr>
        <a:xfrm>
          <a:off x="9574555" y="439048"/>
          <a:ext cx="1494366" cy="282588"/>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15</xdr:col>
      <xdr:colOff>503768</xdr:colOff>
      <xdr:row>2</xdr:row>
      <xdr:rowOff>40095</xdr:rowOff>
    </xdr:from>
    <xdr:to>
      <xdr:col>16</xdr:col>
      <xdr:colOff>175260</xdr:colOff>
      <xdr:row>3</xdr:row>
      <xdr:rowOff>139491</xdr:rowOff>
    </xdr:to>
    <xdr:pic>
      <xdr:nvPicPr>
        <xdr:cNvPr id="38" name="Graphic 37" descr="Snooze with solid fill">
          <a:extLst>
            <a:ext uri="{FF2B5EF4-FFF2-40B4-BE49-F238E27FC236}">
              <a16:creationId xmlns:a16="http://schemas.microsoft.com/office/drawing/2014/main" id="{00000000-0008-0000-0800-000026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647768" y="405855"/>
          <a:ext cx="281092" cy="2822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00000000-0008-0000-0E00-000013000000}"/>
            </a:ext>
          </a:extLst>
        </xdr:cNvPr>
        <xdr:cNvSpPr/>
      </xdr:nvSpPr>
      <xdr:spPr>
        <a:xfrm>
          <a:off x="8153400" y="246126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00000000-0008-0000-0E00-000012000000}"/>
            </a:ext>
          </a:extLst>
        </xdr:cNvPr>
        <xdr:cNvSpPr/>
      </xdr:nvSpPr>
      <xdr:spPr>
        <a:xfrm>
          <a:off x="83820" y="2461260"/>
          <a:ext cx="3931920" cy="1760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0000000-0008-0000-0E00-000011000000}"/>
            </a:ext>
          </a:extLst>
        </xdr:cNvPr>
        <xdr:cNvSpPr/>
      </xdr:nvSpPr>
      <xdr:spPr>
        <a:xfrm>
          <a:off x="2278380" y="541020"/>
          <a:ext cx="9806940" cy="18211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00000000-0008-0000-0E00-000010000000}"/>
            </a:ext>
          </a:extLst>
        </xdr:cNvPr>
        <xdr:cNvSpPr/>
      </xdr:nvSpPr>
      <xdr:spPr>
        <a:xfrm>
          <a:off x="4107180" y="245364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60960" y="83820"/>
          <a:ext cx="12024360" cy="4114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rgbClr val="FF0000"/>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rgbClr val="FF0000"/>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00000000-0008-0000-0E00-00000B000000}"/>
            </a:ext>
          </a:extLst>
        </xdr:cNvPr>
        <xdr:cNvSpPr/>
      </xdr:nvSpPr>
      <xdr:spPr>
        <a:xfrm>
          <a:off x="412242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00000000-0008-0000-0E00-00000D000000}"/>
            </a:ext>
          </a:extLst>
        </xdr:cNvPr>
        <xdr:cNvSpPr/>
      </xdr:nvSpPr>
      <xdr:spPr>
        <a:xfrm>
          <a:off x="9144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00000000-0008-0000-0E00-00000E000000}"/>
            </a:ext>
          </a:extLst>
        </xdr:cNvPr>
        <xdr:cNvSpPr/>
      </xdr:nvSpPr>
      <xdr:spPr>
        <a:xfrm>
          <a:off x="8199120" y="2499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00000000-0008-0000-0E00-00000F000000}"/>
            </a:ext>
          </a:extLst>
        </xdr:cNvPr>
        <xdr:cNvSpPr/>
      </xdr:nvSpPr>
      <xdr:spPr>
        <a:xfrm>
          <a:off x="2346960" y="594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22860</xdr:colOff>
      <xdr:row>15</xdr:row>
      <xdr:rowOff>53340</xdr:rowOff>
    </xdr:from>
    <xdr:to>
      <xdr:col>6</xdr:col>
      <xdr:colOff>365760</xdr:colOff>
      <xdr:row>22</xdr:row>
      <xdr:rowOff>121920</xdr:rowOff>
    </xdr:to>
    <xdr:graphicFrame macro="">
      <xdr:nvGraphicFramePr>
        <xdr:cNvPr id="20" name="Chart 1">
          <a:extLst>
            <a:ext uri="{FF2B5EF4-FFF2-40B4-BE49-F238E27FC236}">
              <a16:creationId xmlns:a16="http://schemas.microsoft.com/office/drawing/2014/main" id="{00000000-0008-0000-0E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00000000-0008-0000-0E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00000000-0008-0000-0E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00000000-0008-0000-0E00-00001700000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00000000-0008-0000-0E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502920</xdr:colOff>
      <xdr:row>13</xdr:row>
      <xdr:rowOff>45720</xdr:rowOff>
    </xdr:from>
    <xdr:to>
      <xdr:col>7</xdr:col>
      <xdr:colOff>274320</xdr:colOff>
      <xdr:row>15</xdr:row>
      <xdr:rowOff>60960</xdr:rowOff>
    </xdr:to>
    <xdr:pic>
      <xdr:nvPicPr>
        <xdr:cNvPr id="28" name="Graphic 27" descr="Daily calendar with solid fill">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2423160"/>
          <a:ext cx="381000" cy="381000"/>
        </a:xfrm>
        <a:prstGeom prst="rect">
          <a:avLst/>
        </a:prstGeom>
      </xdr:spPr>
    </xdr:pic>
    <xdr:clientData/>
  </xdr:twoCellAnchor>
  <xdr:twoCellAnchor editAs="oneCell">
    <xdr:from>
      <xdr:col>13</xdr:col>
      <xdr:colOff>335280</xdr:colOff>
      <xdr:row>13</xdr:row>
      <xdr:rowOff>91440</xdr:rowOff>
    </xdr:from>
    <xdr:to>
      <xdr:col>14</xdr:col>
      <xdr:colOff>99060</xdr:colOff>
      <xdr:row>15</xdr:row>
      <xdr:rowOff>99060</xdr:rowOff>
    </xdr:to>
    <xdr:pic>
      <xdr:nvPicPr>
        <xdr:cNvPr id="30" name="Graphic 29" descr="Signpost outline">
          <a:extLst>
            <a:ext uri="{FF2B5EF4-FFF2-40B4-BE49-F238E27FC236}">
              <a16:creationId xmlns:a16="http://schemas.microsoft.com/office/drawing/2014/main" id="{00000000-0008-0000-0E00-00001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260080" y="2468880"/>
          <a:ext cx="373380" cy="373380"/>
        </a:xfrm>
        <a:prstGeom prst="rect">
          <a:avLst/>
        </a:prstGeom>
      </xdr:spPr>
    </xdr:pic>
    <xdr:clientData/>
  </xdr:twoCellAnchor>
  <xdr:twoCellAnchor editAs="oneCell">
    <xdr:from>
      <xdr:col>0</xdr:col>
      <xdr:colOff>160020</xdr:colOff>
      <xdr:row>13</xdr:row>
      <xdr:rowOff>106680</xdr:rowOff>
    </xdr:from>
    <xdr:to>
      <xdr:col>0</xdr:col>
      <xdr:colOff>426720</xdr:colOff>
      <xdr:row>15</xdr:row>
      <xdr:rowOff>7620</xdr:rowOff>
    </xdr:to>
    <xdr:pic>
      <xdr:nvPicPr>
        <xdr:cNvPr id="32" name="Graphic 31" descr="Globe with solid fill">
          <a:extLst>
            <a:ext uri="{FF2B5EF4-FFF2-40B4-BE49-F238E27FC236}">
              <a16:creationId xmlns:a16="http://schemas.microsoft.com/office/drawing/2014/main" id="{00000000-0008-0000-0E00-000020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0020" y="2484120"/>
          <a:ext cx="266700" cy="266700"/>
        </a:xfrm>
        <a:prstGeom prst="rect">
          <a:avLst/>
        </a:prstGeom>
      </xdr:spPr>
    </xdr:pic>
    <xdr:clientData/>
  </xdr:twoCellAnchor>
  <xdr:twoCellAnchor editAs="oneCell">
    <xdr:from>
      <xdr:col>4</xdr:col>
      <xdr:colOff>45720</xdr:colOff>
      <xdr:row>3</xdr:row>
      <xdr:rowOff>38100</xdr:rowOff>
    </xdr:from>
    <xdr:to>
      <xdr:col>4</xdr:col>
      <xdr:colOff>350520</xdr:colOff>
      <xdr:row>4</xdr:row>
      <xdr:rowOff>160020</xdr:rowOff>
    </xdr:to>
    <xdr:pic>
      <xdr:nvPicPr>
        <xdr:cNvPr id="36" name="Graphic 35" descr="Hammer with solid fill">
          <a:extLst>
            <a:ext uri="{FF2B5EF4-FFF2-40B4-BE49-F238E27FC236}">
              <a16:creationId xmlns:a16="http://schemas.microsoft.com/office/drawing/2014/main" id="{00000000-0008-0000-0E00-00002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84120" y="586740"/>
          <a:ext cx="304800" cy="304800"/>
        </a:xfrm>
        <a:prstGeom prst="rect">
          <a:avLst/>
        </a:prstGeom>
      </xdr:spPr>
    </xdr:pic>
    <xdr:clientData/>
  </xdr:twoCellAnchor>
  <xdr:twoCellAnchor editAs="oneCell">
    <xdr:from>
      <xdr:col>0</xdr:col>
      <xdr:colOff>75247</xdr:colOff>
      <xdr:row>3</xdr:row>
      <xdr:rowOff>7302</xdr:rowOff>
    </xdr:from>
    <xdr:to>
      <xdr:col>3</xdr:col>
      <xdr:colOff>341312</xdr:colOff>
      <xdr:row>12</xdr:row>
      <xdr:rowOff>166688</xdr:rowOff>
    </xdr:to>
    <mc:AlternateContent xmlns:mc="http://schemas.openxmlformats.org/markup-compatibility/2006" xmlns:a14="http://schemas.microsoft.com/office/drawing/2010/main">
      <mc:Choice Requires="a14">
        <xdr:graphicFrame macro="">
          <xdr:nvGraphicFramePr>
            <xdr:cNvPr id="37" name="Year 1">
              <a:extLst>
                <a:ext uri="{FF2B5EF4-FFF2-40B4-BE49-F238E27FC236}">
                  <a16:creationId xmlns:a16="http://schemas.microsoft.com/office/drawing/2014/main" id="{00000000-0008-0000-0E00-000025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5247" y="555942"/>
              <a:ext cx="2094865" cy="18053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43809398148" createdVersion="7" refreshedVersion="7" minRefreshableVersion="3" recordCount="36" xr:uid="{74EDEDC8-B8F7-45B4-8BCD-16DB3FCCC957}">
  <cacheSource type="worksheet">
    <worksheetSource name="Data_Table"/>
  </cacheSource>
  <cacheFields count="10">
    <cacheField name="Year" numFmtId="1">
      <sharedItems containsSemiMixedTypes="0" containsString="0" containsNumber="1" containsInteger="1" minValue="2021" maxValue="2022" count="2">
        <n v="2021"/>
        <n v="2022" u="1"/>
      </sharedItems>
    </cacheField>
    <cacheField name="Month" numFmtId="49">
      <sharedItems containsBlank="1" count="13">
        <s v="January"/>
        <s v="February"/>
        <s v="March"/>
        <s v="April"/>
        <s v="May"/>
        <s v="June"/>
        <s v="July"/>
        <s v="August"/>
        <s v="September"/>
        <s v="October"/>
        <s v="November"/>
        <s v="December"/>
        <m u="1"/>
      </sharedItems>
    </cacheField>
    <cacheField name="Address" numFmtId="0">
      <sharedItems containsBlank="1" count="16">
        <s v="8888 Atkinson Drive Apt. 1"/>
        <s v="8888 Atkinson Drive Apt. 2"/>
        <s v="9999 Crawford Trace"/>
        <m u="1"/>
        <s v="8888 Atkinson Drive Apt. 3" u="1"/>
        <s v="8897 Atkinson Drive Apt. 1" u="1"/>
        <s v="8896 Atkinson Drive Apt. 1" u="1"/>
        <s v="8895 Atkinson Drive Apt. 1" u="1"/>
        <s v="8894 Atkinson Drive Apt. 1" u="1"/>
        <s v="8893 Atkinson Drive Apt. 1" u="1"/>
        <s v="8892 Atkinson Drive Apt. 1" u="1"/>
        <s v="8891 Atkinson Drive Apt. 1" u="1"/>
        <s v="1111 Rex Drive" u="1"/>
        <s v="8890 Atkinson Drive Apt. 1" u="1"/>
        <s v="8889 Atkinson Drive Apt. 1" u="1"/>
        <s v="8898 Atkinson Drive Apt. 1" u="1"/>
      </sharedItems>
    </cacheField>
    <cacheField name="City" numFmtId="0">
      <sharedItems/>
    </cacheField>
    <cacheField name="Zip code" numFmtId="0">
      <sharedItems containsSemiMixedTypes="0" containsString="0" containsNumber="1" containsInteger="1" minValue="32304" maxValue="99999" count="6">
        <n v="32304"/>
        <n v="32310"/>
        <n v="32305" u="1"/>
        <n v="32355" u="1"/>
        <n v="99999" u="1"/>
        <n v="55555" u="1"/>
      </sharedItems>
    </cacheField>
    <cacheField name="State" numFmtId="0">
      <sharedItems/>
    </cacheField>
    <cacheField name="Amount" numFmtId="164">
      <sharedItems containsSemiMixedTypes="0" containsString="0" containsNumber="1" containsInteger="1" minValue="0" maxValue="1500"/>
    </cacheField>
    <cacheField name="Late" numFmtId="14">
      <sharedItems containsBlank="1" count="3">
        <s v="No"/>
        <s v="Yes"/>
        <m u="1"/>
      </sharedItems>
    </cacheField>
    <cacheField name="Late fees" numFmtId="0">
      <sharedItems containsSemiMixedTypes="0" containsString="0" containsNumber="1" containsInteger="1" minValue="0" maxValue="80"/>
    </cacheField>
    <cacheField name="ID" numFmtId="0">
      <sharedItems containsSemiMixedTypes="0" containsString="0" containsNumber="1" containsInteger="1" minValue="1" maxValue="36"/>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438095138888" createdVersion="7" refreshedVersion="7" minRefreshableVersion="3" recordCount="2" xr:uid="{B13442B2-6EC1-4181-9A10-C535AFFC2015}">
  <cacheSource type="worksheet">
    <worksheetSource name="Expense_Table"/>
  </cacheSource>
  <cacheFields count="10">
    <cacheField name="Year" numFmtId="0">
      <sharedItems containsSemiMixedTypes="0" containsString="0" containsNumber="1" containsInteger="1" minValue="2017" maxValue="2021" count="2">
        <n v="2017"/>
        <n v="2021"/>
      </sharedItems>
    </cacheField>
    <cacheField name="Month" numFmtId="0">
      <sharedItems containsBlank="1" count="4">
        <s v="March"/>
        <s v="August"/>
        <m u="1"/>
        <s v="February" u="1"/>
      </sharedItems>
    </cacheField>
    <cacheField name="Address" numFmtId="0">
      <sharedItems containsBlank="1" count="4">
        <s v="8888 Atkinson Drive Apt. 3"/>
        <m u="1"/>
        <s v="1111 Rex Drive" u="1"/>
        <s v="8888 Atkinson Drive Apt. 2" u="1"/>
      </sharedItems>
    </cacheField>
    <cacheField name="City" numFmtId="0">
      <sharedItems/>
    </cacheField>
    <cacheField name="Zip Code" numFmtId="0">
      <sharedItems containsSemiMixedTypes="0" containsString="0" containsNumber="1" containsInteger="1" minValue="32304" maxValue="32305" count="2">
        <n v="32304"/>
        <n v="32305" u="1"/>
      </sharedItems>
    </cacheField>
    <cacheField name="State" numFmtId="0">
      <sharedItems/>
    </cacheField>
    <cacheField name="Type of Expenses" numFmtId="0">
      <sharedItems containsBlank="1" count="5">
        <s v="Fix toilet"/>
        <s v="Cut tree"/>
        <m u="1"/>
        <s v="new stove" u="1"/>
        <s v="fix sink pipe" u="1"/>
      </sharedItems>
    </cacheField>
    <cacheField name="Amount" numFmtId="0">
      <sharedItems containsSemiMixedTypes="0" containsString="0" containsNumber="1" containsInteger="1" minValue="1000" maxValue="2000"/>
    </cacheField>
    <cacheField name="Receipt/ invoice number" numFmtId="0">
      <sharedItems containsSemiMixedTypes="0" containsString="0" containsNumber="1" containsInteger="1" minValue="333" maxValue="366"/>
    </cacheField>
    <cacheField name="Record ID" numFmtId="0">
      <sharedItems containsSemiMixedTypes="0" containsString="0" containsNumber="1" containsInteger="1" minValue="1" maxValue="2"/>
    </cacheField>
  </cacheFields>
  <extLst>
    <ext xmlns:x14="http://schemas.microsoft.com/office/spreadsheetml/2009/9/main" uri="{725AE2AE-9491-48be-B2B4-4EB974FC3084}">
      <x14:pivotCacheDefinition pivotCacheId="13652605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x v="0"/>
    <x v="0"/>
    <s v="Tallahassee"/>
    <x v="0"/>
    <s v="Florida"/>
    <n v="1000"/>
    <x v="0"/>
    <n v="0"/>
    <n v="1"/>
  </r>
  <r>
    <x v="0"/>
    <x v="1"/>
    <x v="0"/>
    <s v="Tallahassee"/>
    <x v="0"/>
    <s v="Florida"/>
    <n v="1000"/>
    <x v="0"/>
    <n v="0"/>
    <n v="2"/>
  </r>
  <r>
    <x v="0"/>
    <x v="2"/>
    <x v="0"/>
    <s v="Tallahassee"/>
    <x v="0"/>
    <s v="Florida"/>
    <n v="1000"/>
    <x v="0"/>
    <n v="0"/>
    <n v="3"/>
  </r>
  <r>
    <x v="0"/>
    <x v="3"/>
    <x v="0"/>
    <s v="Tallahassee"/>
    <x v="0"/>
    <s v="Florida"/>
    <n v="1000"/>
    <x v="0"/>
    <n v="0"/>
    <n v="4"/>
  </r>
  <r>
    <x v="0"/>
    <x v="4"/>
    <x v="0"/>
    <s v="Tallahassee"/>
    <x v="0"/>
    <s v="Florida"/>
    <n v="1000"/>
    <x v="0"/>
    <n v="0"/>
    <n v="5"/>
  </r>
  <r>
    <x v="0"/>
    <x v="5"/>
    <x v="0"/>
    <s v="Tallahassee"/>
    <x v="0"/>
    <s v="Florida"/>
    <n v="900"/>
    <x v="0"/>
    <n v="0"/>
    <n v="6"/>
  </r>
  <r>
    <x v="0"/>
    <x v="6"/>
    <x v="0"/>
    <s v="Tallahassee"/>
    <x v="0"/>
    <s v="Florida"/>
    <n v="900"/>
    <x v="0"/>
    <n v="0"/>
    <n v="7"/>
  </r>
  <r>
    <x v="0"/>
    <x v="7"/>
    <x v="0"/>
    <s v="Tallahassee"/>
    <x v="0"/>
    <s v="Florida"/>
    <n v="1000"/>
    <x v="0"/>
    <n v="0"/>
    <n v="8"/>
  </r>
  <r>
    <x v="0"/>
    <x v="8"/>
    <x v="0"/>
    <s v="Tallahassee"/>
    <x v="0"/>
    <s v="Florida"/>
    <n v="1500"/>
    <x v="0"/>
    <n v="0"/>
    <n v="9"/>
  </r>
  <r>
    <x v="0"/>
    <x v="9"/>
    <x v="0"/>
    <s v="Tallahassee"/>
    <x v="0"/>
    <s v="Florida"/>
    <n v="1000"/>
    <x v="1"/>
    <n v="40"/>
    <n v="10"/>
  </r>
  <r>
    <x v="0"/>
    <x v="10"/>
    <x v="0"/>
    <s v="Tallahassee"/>
    <x v="0"/>
    <s v="Florida"/>
    <n v="1500"/>
    <x v="0"/>
    <n v="0"/>
    <n v="11"/>
  </r>
  <r>
    <x v="0"/>
    <x v="11"/>
    <x v="0"/>
    <s v="Tallahassee"/>
    <x v="0"/>
    <s v="Florida"/>
    <n v="1500"/>
    <x v="0"/>
    <n v="0"/>
    <n v="12"/>
  </r>
  <r>
    <x v="0"/>
    <x v="0"/>
    <x v="1"/>
    <s v="Tallahassee"/>
    <x v="0"/>
    <s v="Florida"/>
    <n v="600"/>
    <x v="0"/>
    <n v="0"/>
    <n v="13"/>
  </r>
  <r>
    <x v="0"/>
    <x v="1"/>
    <x v="1"/>
    <s v="Tallahassee"/>
    <x v="0"/>
    <s v="Florida"/>
    <n v="600"/>
    <x v="0"/>
    <n v="0"/>
    <n v="14"/>
  </r>
  <r>
    <x v="0"/>
    <x v="2"/>
    <x v="1"/>
    <s v="Tallahassee"/>
    <x v="0"/>
    <s v="Florida"/>
    <n v="600"/>
    <x v="0"/>
    <n v="0"/>
    <n v="15"/>
  </r>
  <r>
    <x v="0"/>
    <x v="3"/>
    <x v="1"/>
    <s v="Tallahassee"/>
    <x v="0"/>
    <s v="Florida"/>
    <n v="600"/>
    <x v="0"/>
    <n v="0"/>
    <n v="16"/>
  </r>
  <r>
    <x v="0"/>
    <x v="4"/>
    <x v="1"/>
    <s v="Tallahassee"/>
    <x v="0"/>
    <s v="Florida"/>
    <n v="600"/>
    <x v="0"/>
    <n v="0"/>
    <n v="17"/>
  </r>
  <r>
    <x v="0"/>
    <x v="5"/>
    <x v="1"/>
    <s v="Tallahassee"/>
    <x v="0"/>
    <s v="Florida"/>
    <n v="600"/>
    <x v="0"/>
    <n v="0"/>
    <n v="18"/>
  </r>
  <r>
    <x v="0"/>
    <x v="6"/>
    <x v="1"/>
    <s v="Tallahassee"/>
    <x v="0"/>
    <s v="Florida"/>
    <n v="600"/>
    <x v="1"/>
    <n v="80"/>
    <n v="19"/>
  </r>
  <r>
    <x v="0"/>
    <x v="7"/>
    <x v="1"/>
    <s v="Tallahassee"/>
    <x v="0"/>
    <s v="Florida"/>
    <n v="600"/>
    <x v="0"/>
    <n v="0"/>
    <n v="20"/>
  </r>
  <r>
    <x v="0"/>
    <x v="8"/>
    <x v="1"/>
    <s v="Tallahassee"/>
    <x v="0"/>
    <s v="Florida"/>
    <n v="600"/>
    <x v="0"/>
    <n v="0"/>
    <n v="21"/>
  </r>
  <r>
    <x v="0"/>
    <x v="9"/>
    <x v="1"/>
    <s v="Tallahassee"/>
    <x v="0"/>
    <s v="Florida"/>
    <n v="600"/>
    <x v="0"/>
    <n v="0"/>
    <n v="22"/>
  </r>
  <r>
    <x v="0"/>
    <x v="10"/>
    <x v="1"/>
    <s v="Tallahassee"/>
    <x v="0"/>
    <s v="Florida"/>
    <n v="600"/>
    <x v="0"/>
    <n v="0"/>
    <n v="23"/>
  </r>
  <r>
    <x v="0"/>
    <x v="11"/>
    <x v="1"/>
    <s v="Tallahassee"/>
    <x v="0"/>
    <s v="Florida"/>
    <n v="600"/>
    <x v="0"/>
    <n v="0"/>
    <n v="24"/>
  </r>
  <r>
    <x v="0"/>
    <x v="0"/>
    <x v="2"/>
    <s v="Tallahassee"/>
    <x v="1"/>
    <s v="Florida"/>
    <n v="1100"/>
    <x v="0"/>
    <n v="0"/>
    <n v="25"/>
  </r>
  <r>
    <x v="0"/>
    <x v="1"/>
    <x v="2"/>
    <s v="Tallahassee"/>
    <x v="1"/>
    <s v="Florida"/>
    <n v="1100"/>
    <x v="0"/>
    <n v="0"/>
    <n v="26"/>
  </r>
  <r>
    <x v="0"/>
    <x v="2"/>
    <x v="2"/>
    <s v="Tallahassee"/>
    <x v="1"/>
    <s v="Florida"/>
    <n v="1100"/>
    <x v="0"/>
    <n v="0"/>
    <n v="27"/>
  </r>
  <r>
    <x v="0"/>
    <x v="3"/>
    <x v="2"/>
    <s v="Tallahassee"/>
    <x v="1"/>
    <s v="Florida"/>
    <n v="1100"/>
    <x v="0"/>
    <n v="0"/>
    <n v="28"/>
  </r>
  <r>
    <x v="0"/>
    <x v="4"/>
    <x v="2"/>
    <s v="Tallahassee"/>
    <x v="1"/>
    <s v="Florida"/>
    <n v="1100"/>
    <x v="0"/>
    <n v="0"/>
    <n v="29"/>
  </r>
  <r>
    <x v="0"/>
    <x v="5"/>
    <x v="2"/>
    <s v="Tallahassee"/>
    <x v="1"/>
    <s v="Florida"/>
    <n v="1100"/>
    <x v="0"/>
    <n v="0"/>
    <n v="30"/>
  </r>
  <r>
    <x v="0"/>
    <x v="6"/>
    <x v="2"/>
    <s v="Tallahassee"/>
    <x v="1"/>
    <s v="Florida"/>
    <n v="0"/>
    <x v="0"/>
    <n v="0"/>
    <n v="31"/>
  </r>
  <r>
    <x v="0"/>
    <x v="7"/>
    <x v="2"/>
    <s v="Tallahassee"/>
    <x v="1"/>
    <s v="Florida"/>
    <n v="0"/>
    <x v="0"/>
    <n v="0"/>
    <n v="32"/>
  </r>
  <r>
    <x v="0"/>
    <x v="8"/>
    <x v="2"/>
    <s v="Tallahassee"/>
    <x v="1"/>
    <s v="Florida"/>
    <n v="1100"/>
    <x v="0"/>
    <n v="0"/>
    <n v="33"/>
  </r>
  <r>
    <x v="0"/>
    <x v="9"/>
    <x v="2"/>
    <s v="Tallahassee"/>
    <x v="1"/>
    <s v="Florida"/>
    <n v="1100"/>
    <x v="0"/>
    <n v="0"/>
    <n v="34"/>
  </r>
  <r>
    <x v="0"/>
    <x v="10"/>
    <x v="2"/>
    <s v="Tallahassee"/>
    <x v="1"/>
    <s v="Florida"/>
    <n v="1100"/>
    <x v="0"/>
    <n v="0"/>
    <n v="35"/>
  </r>
  <r>
    <x v="0"/>
    <x v="11"/>
    <x v="2"/>
    <s v="Tallahassee"/>
    <x v="1"/>
    <s v="Florida"/>
    <n v="1100"/>
    <x v="0"/>
    <n v="0"/>
    <n v="3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x v="0"/>
    <s v="Tallahassee"/>
    <x v="0"/>
    <s v="Florida"/>
    <x v="0"/>
    <n v="1000"/>
    <n v="333"/>
    <n v="1"/>
  </r>
  <r>
    <x v="1"/>
    <x v="1"/>
    <x v="0"/>
    <s v="Tallahassee"/>
    <x v="0"/>
    <s v="Florida"/>
    <x v="1"/>
    <n v="2000"/>
    <n v="366"/>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3">
        <item x="0"/>
        <item m="1" x="1"/>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i>
    <i t="grand">
      <x/>
    </i>
  </rowItems>
  <colItems count="1">
    <i/>
  </colItems>
  <dataFields count="1">
    <dataField name="Sum of Amount" fld="6" baseField="0" baseItem="0"/>
  </dataFields>
  <formats count="1">
    <format dxfId="3">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14" firstHeaderRow="1" firstDataRow="1" firstDataCol="1"/>
  <pivotFields count="10">
    <pivotField showAll="0">
      <items count="3">
        <item x="0"/>
        <item m="1" x="1"/>
        <item t="default"/>
      </items>
    </pivotField>
    <pivotField axis="axisRow" showAll="0">
      <items count="14">
        <item x="0"/>
        <item x="1"/>
        <item x="2"/>
        <item x="5"/>
        <item m="1" x="12"/>
        <item x="4"/>
        <item x="3"/>
        <item x="6"/>
        <item x="7"/>
        <item x="8"/>
        <item x="9"/>
        <item x="10"/>
        <item x="11"/>
        <item t="default"/>
      </items>
    </pivotField>
    <pivotField showAll="0"/>
    <pivotField showAll="0"/>
    <pivotField showAll="0"/>
    <pivotField showAll="0"/>
    <pivotField dataField="1" numFmtId="164" showAll="0"/>
    <pivotField showAll="0"/>
    <pivotField showAll="0"/>
    <pivotField showAll="0"/>
  </pivotFields>
  <rowFields count="1">
    <field x="1"/>
  </rowFields>
  <rowItems count="13">
    <i>
      <x/>
    </i>
    <i>
      <x v="1"/>
    </i>
    <i>
      <x v="2"/>
    </i>
    <i>
      <x v="3"/>
    </i>
    <i>
      <x v="5"/>
    </i>
    <i>
      <x v="6"/>
    </i>
    <i>
      <x v="7"/>
    </i>
    <i>
      <x v="8"/>
    </i>
    <i>
      <x v="9"/>
    </i>
    <i>
      <x v="10"/>
    </i>
    <i>
      <x v="11"/>
    </i>
    <i>
      <x v="12"/>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9" firstHeaderRow="1" firstDataRow="1" firstDataCol="1"/>
  <pivotFields count="10">
    <pivotField showAll="0">
      <items count="3">
        <item x="0"/>
        <item m="1" x="1"/>
        <item t="default"/>
      </items>
    </pivotField>
    <pivotField showAll="0"/>
    <pivotField axis="axisRow" showAll="0">
      <items count="17">
        <item m="1" x="12"/>
        <item x="0"/>
        <item x="2"/>
        <item m="1" x="3"/>
        <item m="1" x="4"/>
        <item m="1" x="14"/>
        <item m="1" x="13"/>
        <item m="1" x="11"/>
        <item m="1" x="10"/>
        <item m="1" x="9"/>
        <item m="1" x="8"/>
        <item m="1" x="7"/>
        <item m="1" x="6"/>
        <item m="1" x="5"/>
        <item m="1" x="15"/>
        <item x="1"/>
        <item t="default"/>
      </items>
    </pivotField>
    <pivotField showAll="0"/>
    <pivotField showAll="0"/>
    <pivotField showAll="0"/>
    <pivotField dataField="1" numFmtId="164" showAll="0"/>
    <pivotField showAll="0"/>
    <pivotField showAll="0"/>
    <pivotField showAll="0"/>
  </pivotFields>
  <rowFields count="1">
    <field x="2"/>
  </rowFields>
  <rowItems count="4">
    <i>
      <x v="1"/>
    </i>
    <i>
      <x v="2"/>
    </i>
    <i>
      <x v="15"/>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3">
        <item x="0"/>
        <item m="1" x="1"/>
        <item t="default"/>
      </items>
    </pivotField>
    <pivotField showAll="0"/>
    <pivotField showAll="0"/>
    <pivotField showAll="0"/>
    <pivotField axis="axisRow" showAll="0">
      <items count="7">
        <item m="1" x="2"/>
        <item m="1" x="3"/>
        <item m="1" x="5"/>
        <item m="1" x="4"/>
        <item x="0"/>
        <item x="1"/>
        <item t="default"/>
      </items>
    </pivotField>
    <pivotField showAll="0"/>
    <pivotField dataField="1" numFmtId="164" showAll="0"/>
    <pivotField showAll="0"/>
    <pivotField showAll="0"/>
    <pivotField showAll="0"/>
  </pivotFields>
  <rowFields count="1">
    <field x="4"/>
  </rowFields>
  <rowItems count="3">
    <i>
      <x v="4"/>
    </i>
    <i>
      <x v="5"/>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2" firstHeaderRow="1" firstDataRow="1" firstDataCol="1"/>
  <pivotFields count="10">
    <pivotField showAll="0">
      <items count="3">
        <item x="0"/>
        <item m="1" x="1"/>
        <item t="default"/>
      </items>
    </pivotField>
    <pivotField showAll="0"/>
    <pivotField axis="axisRow" showAll="0">
      <items count="17">
        <item m="1" x="12"/>
        <item x="0"/>
        <item x="2"/>
        <item m="1" x="3"/>
        <item m="1" x="4"/>
        <item m="1" x="14"/>
        <item m="1" x="13"/>
        <item m="1" x="11"/>
        <item m="1" x="10"/>
        <item m="1" x="9"/>
        <item m="1" x="8"/>
        <item m="1" x="7"/>
        <item m="1" x="6"/>
        <item m="1" x="5"/>
        <item m="1" x="15"/>
        <item x="1"/>
        <item t="default"/>
      </items>
    </pivotField>
    <pivotField showAll="0"/>
    <pivotField showAll="0"/>
    <pivotField showAll="0"/>
    <pivotField numFmtId="164" showAll="0"/>
    <pivotField showAll="0"/>
    <pivotField dataField="1" showAll="0"/>
    <pivotField showAll="0"/>
  </pivotFields>
  <rowFields count="1">
    <field x="2"/>
  </rowFields>
  <rowItems count="4">
    <i>
      <x v="1"/>
    </i>
    <i>
      <x v="2"/>
    </i>
    <i>
      <x v="15"/>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3">
        <item x="0"/>
        <item m="1" x="1"/>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3">
    <i>
      <x/>
    </i>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487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2" firstHeaderRow="1" firstDataRow="1" firstDataCol="1"/>
  <pivotFields count="10">
    <pivotField showAll="0">
      <items count="3">
        <item x="0"/>
        <item x="1"/>
        <item t="default"/>
      </items>
    </pivotField>
    <pivotField showAll="0"/>
    <pivotField showAll="0"/>
    <pivotField showAll="0"/>
    <pivotField axis="axisRow" showAll="0">
      <items count="3">
        <item x="0"/>
        <item m="1" x="1"/>
        <item t="default"/>
      </items>
    </pivotField>
    <pivotField showAll="0"/>
    <pivotField showAll="0"/>
    <pivotField dataField="1" showAll="0"/>
    <pivotField showAll="0"/>
    <pivotField showAll="0"/>
  </pivotFields>
  <rowFields count="1">
    <field x="4"/>
  </rowFields>
  <rowItems count="2">
    <i>
      <x/>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487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3">
        <item x="0"/>
        <item x="1"/>
        <item t="default"/>
      </items>
    </pivotField>
    <pivotField showAll="0"/>
    <pivotField axis="axisRow" showAll="0">
      <items count="5">
        <item m="1" x="2"/>
        <item m="1" x="3"/>
        <item x="0"/>
        <item m="1" x="1"/>
        <item t="default"/>
      </items>
    </pivotField>
    <pivotField showAll="0"/>
    <pivotField showAll="0"/>
    <pivotField showAll="0"/>
    <pivotField showAll="0"/>
    <pivotField dataField="1" showAll="0"/>
    <pivotField showAll="0"/>
    <pivotField showAll="0"/>
  </pivotFields>
  <rowFields count="1">
    <field x="2"/>
  </rowFields>
  <rowItems count="2">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487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20" firstHeaderRow="1" firstDataRow="1" firstDataCol="1"/>
  <pivotFields count="10">
    <pivotField showAll="0">
      <items count="3">
        <item x="0"/>
        <item x="1"/>
        <item t="default"/>
      </items>
    </pivotField>
    <pivotField showAll="0"/>
    <pivotField showAll="0"/>
    <pivotField showAll="0"/>
    <pivotField showAll="0"/>
    <pivotField showAll="0"/>
    <pivotField axis="axisRow" showAll="0">
      <items count="6">
        <item x="1"/>
        <item m="1" x="4"/>
        <item x="0"/>
        <item m="1" x="3"/>
        <item m="1" x="2"/>
        <item t="default"/>
      </items>
    </pivotField>
    <pivotField dataField="1" showAll="0"/>
    <pivotField showAll="0"/>
    <pivotField showAll="0"/>
  </pivotFields>
  <rowFields count="1">
    <field x="6"/>
  </rowFields>
  <rowItems count="3">
    <i>
      <x/>
    </i>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487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items count="3">
        <item x="0"/>
        <item x="1"/>
        <item t="default"/>
      </items>
    </pivotField>
    <pivotField axis="axisRow" showAll="0">
      <items count="5">
        <item m="1" x="3"/>
        <item x="0"/>
        <item m="1" x="2"/>
        <item x="1"/>
        <item t="default"/>
      </items>
    </pivotField>
    <pivotField showAll="0"/>
    <pivotField showAll="0"/>
    <pivotField showAll="0"/>
    <pivotField showAll="0"/>
    <pivotField showAll="0"/>
    <pivotField dataField="1" showAll="0"/>
    <pivotField showAll="0"/>
    <pivotField showAll="0"/>
  </pivotFields>
  <rowFields count="1">
    <field x="1"/>
  </rowFields>
  <rowItems count="3">
    <i>
      <x v="1"/>
    </i>
    <i>
      <x v="3"/>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AA1B578-F45B-421E-9975-8CA86F9CDB9E}" sourceName="Year">
  <pivotTables>
    <pivotTable tabId="19" name="PivotTable9"/>
    <pivotTable tabId="20" name="PivotTable10"/>
    <pivotTable tabId="18" name="PivotTable8"/>
    <pivotTable tabId="17" name="PivotTable7"/>
  </pivotTables>
  <data>
    <tabular pivotCacheId="136526054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C6FF700-970E-45C3-A43C-C0EF7EB1372B}" cache="Slicer_Year1" caption="Year"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37" totalsRowShown="0" headerRowDxfId="6">
  <autoFilter ref="A1:J37" xr:uid="{C92850AE-F3AD-4140-B124-18E2D4487EFF}"/>
  <tableColumns count="10">
    <tableColumn id="1" xr3:uid="{8D63D74C-5AA0-4729-9115-88E3E1644724}" name="Year" dataDxfId="0"/>
    <tableColumn id="2" xr3:uid="{E2851BAF-F640-4AA9-A2C7-C525FB3B8744}" name="Month" dataDxfId="1"/>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5" dataCellStyle="Currency"/>
    <tableColumn id="8" xr3:uid="{FB8C474C-A48D-40A1-A183-70F15C5EB15A}" name="Late" dataDxfId="4"/>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3" totalsRowShown="0" headerRowDxfId="2">
  <autoFilter ref="A1:J3"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A1"/>
  <sheetViews>
    <sheetView showRowColHeaders="0" zoomScale="143" zoomScaleNormal="143" workbookViewId="0">
      <selection activeCell="I13" sqref="I13"/>
    </sheetView>
  </sheetViews>
  <sheetFormatPr defaultColWidth="9.109375" defaultRowHeight="14.4" x14ac:dyDescent="0.3"/>
  <cols>
    <col min="1" max="16384" width="9.109375" style="13"/>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Rev_Dashboard">
                <anchor moveWithCells="1" sizeWithCells="1">
                  <from>
                    <xdr:col>1</xdr:col>
                    <xdr:colOff>53340</xdr:colOff>
                    <xdr:row>8</xdr:row>
                    <xdr:rowOff>15240</xdr:rowOff>
                  </from>
                  <to>
                    <xdr:col>4</xdr:col>
                    <xdr:colOff>99060</xdr:colOff>
                    <xdr:row>11</xdr:row>
                    <xdr:rowOff>160020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Exp_Dashboard">
                <anchor moveWithCells="1" sizeWithCells="1">
                  <from>
                    <xdr:col>4</xdr:col>
                    <xdr:colOff>434340</xdr:colOff>
                    <xdr:row>8</xdr:row>
                    <xdr:rowOff>15240</xdr:rowOff>
                  </from>
                  <to>
                    <xdr:col>7</xdr:col>
                    <xdr:colOff>480060</xdr:colOff>
                    <xdr:row>11</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37"/>
  <sheetViews>
    <sheetView topLeftCell="A22" workbookViewId="0">
      <selection activeCell="C42" sqref="C42"/>
    </sheetView>
  </sheetViews>
  <sheetFormatPr defaultRowHeight="14.4" x14ac:dyDescent="0.3"/>
  <cols>
    <col min="1" max="1" width="9.109375" style="15"/>
    <col min="2"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14" t="s">
        <v>2</v>
      </c>
      <c r="B1" s="5" t="s">
        <v>0</v>
      </c>
      <c r="C1" s="4" t="s">
        <v>1</v>
      </c>
      <c r="D1" s="4" t="s">
        <v>6</v>
      </c>
      <c r="E1" s="4" t="s">
        <v>7</v>
      </c>
      <c r="F1" s="4" t="s">
        <v>8</v>
      </c>
      <c r="G1" s="6" t="s">
        <v>3</v>
      </c>
      <c r="H1" s="7" t="s">
        <v>4</v>
      </c>
      <c r="I1" s="4" t="s">
        <v>5</v>
      </c>
      <c r="J1" s="4" t="s">
        <v>9</v>
      </c>
    </row>
    <row r="2" spans="1:10" x14ac:dyDescent="0.3">
      <c r="A2" s="15">
        <v>2021</v>
      </c>
      <c r="B2" s="3" t="s">
        <v>10</v>
      </c>
      <c r="C2" t="s">
        <v>11</v>
      </c>
      <c r="D2" t="s">
        <v>21</v>
      </c>
      <c r="E2">
        <v>32304</v>
      </c>
      <c r="F2" t="s">
        <v>22</v>
      </c>
      <c r="G2" s="1">
        <v>1000</v>
      </c>
      <c r="H2" s="2" t="s">
        <v>12</v>
      </c>
      <c r="I2">
        <v>0</v>
      </c>
      <c r="J2">
        <v>1</v>
      </c>
    </row>
    <row r="3" spans="1:10" x14ac:dyDescent="0.3">
      <c r="A3" s="15">
        <v>2021</v>
      </c>
      <c r="B3" s="3" t="s">
        <v>20</v>
      </c>
      <c r="C3" t="s">
        <v>11</v>
      </c>
      <c r="D3" t="s">
        <v>21</v>
      </c>
      <c r="E3">
        <v>32304</v>
      </c>
      <c r="F3" t="s">
        <v>22</v>
      </c>
      <c r="G3" s="1">
        <v>1000</v>
      </c>
      <c r="H3" s="2" t="s">
        <v>12</v>
      </c>
      <c r="I3">
        <v>0</v>
      </c>
      <c r="J3">
        <v>2</v>
      </c>
    </row>
    <row r="4" spans="1:10" x14ac:dyDescent="0.3">
      <c r="A4" s="15">
        <v>2021</v>
      </c>
      <c r="B4" s="3" t="s">
        <v>13</v>
      </c>
      <c r="C4" t="s">
        <v>11</v>
      </c>
      <c r="D4" t="s">
        <v>21</v>
      </c>
      <c r="E4">
        <v>32304</v>
      </c>
      <c r="F4" t="s">
        <v>22</v>
      </c>
      <c r="G4" s="1">
        <v>1000</v>
      </c>
      <c r="H4" s="2" t="s">
        <v>12</v>
      </c>
      <c r="I4">
        <v>0</v>
      </c>
      <c r="J4">
        <v>3</v>
      </c>
    </row>
    <row r="5" spans="1:10" x14ac:dyDescent="0.3">
      <c r="A5" s="15">
        <v>2021</v>
      </c>
      <c r="B5" s="3" t="s">
        <v>29</v>
      </c>
      <c r="C5" t="s">
        <v>11</v>
      </c>
      <c r="D5" t="s">
        <v>21</v>
      </c>
      <c r="E5">
        <v>32304</v>
      </c>
      <c r="F5" t="s">
        <v>22</v>
      </c>
      <c r="G5" s="1">
        <v>1000</v>
      </c>
      <c r="H5" s="2" t="s">
        <v>12</v>
      </c>
      <c r="I5">
        <v>0</v>
      </c>
      <c r="J5">
        <v>4</v>
      </c>
    </row>
    <row r="6" spans="1:10" x14ac:dyDescent="0.3">
      <c r="A6" s="15">
        <v>2021</v>
      </c>
      <c r="B6" s="3" t="s">
        <v>14</v>
      </c>
      <c r="C6" t="s">
        <v>11</v>
      </c>
      <c r="D6" t="s">
        <v>21</v>
      </c>
      <c r="E6">
        <v>32304</v>
      </c>
      <c r="F6" t="s">
        <v>22</v>
      </c>
      <c r="G6" s="1">
        <v>1000</v>
      </c>
      <c r="H6" s="2" t="s">
        <v>12</v>
      </c>
      <c r="I6">
        <v>0</v>
      </c>
      <c r="J6">
        <v>5</v>
      </c>
    </row>
    <row r="7" spans="1:10" x14ac:dyDescent="0.3">
      <c r="A7" s="15">
        <v>2021</v>
      </c>
      <c r="B7" s="3" t="s">
        <v>15</v>
      </c>
      <c r="C7" t="s">
        <v>11</v>
      </c>
      <c r="D7" t="s">
        <v>21</v>
      </c>
      <c r="E7">
        <v>32304</v>
      </c>
      <c r="F7" t="s">
        <v>22</v>
      </c>
      <c r="G7" s="1">
        <v>900</v>
      </c>
      <c r="H7" s="2" t="s">
        <v>12</v>
      </c>
      <c r="I7">
        <v>0</v>
      </c>
      <c r="J7">
        <v>6</v>
      </c>
    </row>
    <row r="8" spans="1:10" x14ac:dyDescent="0.3">
      <c r="A8" s="15">
        <v>2021</v>
      </c>
      <c r="B8" s="3" t="s">
        <v>30</v>
      </c>
      <c r="C8" t="s">
        <v>11</v>
      </c>
      <c r="D8" t="s">
        <v>21</v>
      </c>
      <c r="E8">
        <v>32304</v>
      </c>
      <c r="F8" t="s">
        <v>22</v>
      </c>
      <c r="G8" s="1">
        <v>900</v>
      </c>
      <c r="H8" s="2" t="s">
        <v>12</v>
      </c>
      <c r="I8">
        <v>0</v>
      </c>
      <c r="J8">
        <v>7</v>
      </c>
    </row>
    <row r="9" spans="1:10" x14ac:dyDescent="0.3">
      <c r="A9" s="15">
        <v>2021</v>
      </c>
      <c r="B9" s="3" t="s">
        <v>31</v>
      </c>
      <c r="C9" t="s">
        <v>11</v>
      </c>
      <c r="D9" t="s">
        <v>21</v>
      </c>
      <c r="E9">
        <v>32304</v>
      </c>
      <c r="F9" t="s">
        <v>22</v>
      </c>
      <c r="G9" s="1">
        <v>1000</v>
      </c>
      <c r="H9" s="2" t="s">
        <v>12</v>
      </c>
      <c r="I9">
        <v>0</v>
      </c>
      <c r="J9">
        <v>8</v>
      </c>
    </row>
    <row r="10" spans="1:10" x14ac:dyDescent="0.3">
      <c r="A10" s="15">
        <v>2021</v>
      </c>
      <c r="B10" s="3" t="s">
        <v>32</v>
      </c>
      <c r="C10" t="s">
        <v>11</v>
      </c>
      <c r="D10" t="s">
        <v>21</v>
      </c>
      <c r="E10">
        <v>32304</v>
      </c>
      <c r="F10" t="s">
        <v>22</v>
      </c>
      <c r="G10" s="1">
        <v>1500</v>
      </c>
      <c r="H10" s="2" t="s">
        <v>12</v>
      </c>
      <c r="I10">
        <v>0</v>
      </c>
      <c r="J10">
        <v>9</v>
      </c>
    </row>
    <row r="11" spans="1:10" x14ac:dyDescent="0.3">
      <c r="A11" s="15">
        <v>2021</v>
      </c>
      <c r="B11" s="3" t="s">
        <v>33</v>
      </c>
      <c r="C11" t="s">
        <v>11</v>
      </c>
      <c r="D11" t="s">
        <v>21</v>
      </c>
      <c r="E11">
        <v>32304</v>
      </c>
      <c r="F11" t="s">
        <v>22</v>
      </c>
      <c r="G11" s="1">
        <v>1000</v>
      </c>
      <c r="H11" s="2" t="s">
        <v>36</v>
      </c>
      <c r="I11">
        <v>40</v>
      </c>
      <c r="J11">
        <v>10</v>
      </c>
    </row>
    <row r="12" spans="1:10" x14ac:dyDescent="0.3">
      <c r="A12" s="15">
        <v>2021</v>
      </c>
      <c r="B12" s="3" t="s">
        <v>34</v>
      </c>
      <c r="C12" t="s">
        <v>11</v>
      </c>
      <c r="D12" t="s">
        <v>21</v>
      </c>
      <c r="E12">
        <v>32304</v>
      </c>
      <c r="F12" t="s">
        <v>22</v>
      </c>
      <c r="G12" s="1">
        <v>1500</v>
      </c>
      <c r="H12" s="2" t="s">
        <v>12</v>
      </c>
      <c r="I12">
        <v>0</v>
      </c>
      <c r="J12">
        <v>11</v>
      </c>
    </row>
    <row r="13" spans="1:10" x14ac:dyDescent="0.3">
      <c r="A13" s="15">
        <v>2021</v>
      </c>
      <c r="B13" s="3" t="s">
        <v>35</v>
      </c>
      <c r="C13" t="s">
        <v>11</v>
      </c>
      <c r="D13" t="s">
        <v>21</v>
      </c>
      <c r="E13">
        <v>32304</v>
      </c>
      <c r="F13" t="s">
        <v>22</v>
      </c>
      <c r="G13" s="1">
        <v>1500</v>
      </c>
      <c r="H13" s="2" t="s">
        <v>12</v>
      </c>
      <c r="I13">
        <v>0</v>
      </c>
      <c r="J13">
        <v>12</v>
      </c>
    </row>
    <row r="14" spans="1:10" x14ac:dyDescent="0.3">
      <c r="A14" s="15">
        <v>2021</v>
      </c>
      <c r="B14" s="3" t="s">
        <v>10</v>
      </c>
      <c r="C14" t="s">
        <v>23</v>
      </c>
      <c r="D14" t="s">
        <v>21</v>
      </c>
      <c r="E14">
        <v>32304</v>
      </c>
      <c r="F14" t="s">
        <v>22</v>
      </c>
      <c r="G14" s="1">
        <v>600</v>
      </c>
      <c r="H14" s="2" t="s">
        <v>12</v>
      </c>
      <c r="I14">
        <v>0</v>
      </c>
      <c r="J14">
        <v>13</v>
      </c>
    </row>
    <row r="15" spans="1:10" x14ac:dyDescent="0.3">
      <c r="A15" s="15">
        <v>2021</v>
      </c>
      <c r="B15" s="3" t="s">
        <v>20</v>
      </c>
      <c r="C15" t="s">
        <v>23</v>
      </c>
      <c r="D15" t="s">
        <v>21</v>
      </c>
      <c r="E15">
        <v>32304</v>
      </c>
      <c r="F15" t="s">
        <v>22</v>
      </c>
      <c r="G15" s="1">
        <v>600</v>
      </c>
      <c r="H15" s="2" t="s">
        <v>12</v>
      </c>
      <c r="I15">
        <v>0</v>
      </c>
      <c r="J15">
        <v>14</v>
      </c>
    </row>
    <row r="16" spans="1:10" x14ac:dyDescent="0.3">
      <c r="A16" s="15">
        <v>2021</v>
      </c>
      <c r="B16" s="3" t="s">
        <v>13</v>
      </c>
      <c r="C16" t="s">
        <v>23</v>
      </c>
      <c r="D16" t="s">
        <v>21</v>
      </c>
      <c r="E16">
        <v>32304</v>
      </c>
      <c r="F16" t="s">
        <v>22</v>
      </c>
      <c r="G16" s="1">
        <v>600</v>
      </c>
      <c r="H16" s="2" t="s">
        <v>12</v>
      </c>
      <c r="I16">
        <v>0</v>
      </c>
      <c r="J16">
        <v>15</v>
      </c>
    </row>
    <row r="17" spans="1:10" x14ac:dyDescent="0.3">
      <c r="A17" s="15">
        <v>2021</v>
      </c>
      <c r="B17" s="3" t="s">
        <v>29</v>
      </c>
      <c r="C17" t="s">
        <v>23</v>
      </c>
      <c r="D17" t="s">
        <v>21</v>
      </c>
      <c r="E17">
        <v>32304</v>
      </c>
      <c r="F17" t="s">
        <v>22</v>
      </c>
      <c r="G17" s="1">
        <v>600</v>
      </c>
      <c r="H17" s="2" t="s">
        <v>12</v>
      </c>
      <c r="I17">
        <v>0</v>
      </c>
      <c r="J17">
        <v>16</v>
      </c>
    </row>
    <row r="18" spans="1:10" x14ac:dyDescent="0.3">
      <c r="A18" s="15">
        <v>2021</v>
      </c>
      <c r="B18" s="3" t="s">
        <v>14</v>
      </c>
      <c r="C18" t="s">
        <v>23</v>
      </c>
      <c r="D18" t="s">
        <v>21</v>
      </c>
      <c r="E18">
        <v>32304</v>
      </c>
      <c r="F18" t="s">
        <v>22</v>
      </c>
      <c r="G18" s="1">
        <v>600</v>
      </c>
      <c r="H18" s="2" t="s">
        <v>12</v>
      </c>
      <c r="I18">
        <v>0</v>
      </c>
      <c r="J18">
        <v>17</v>
      </c>
    </row>
    <row r="19" spans="1:10" x14ac:dyDescent="0.3">
      <c r="A19" s="15">
        <v>2021</v>
      </c>
      <c r="B19" s="3" t="s">
        <v>15</v>
      </c>
      <c r="C19" t="s">
        <v>23</v>
      </c>
      <c r="D19" t="s">
        <v>21</v>
      </c>
      <c r="E19">
        <v>32304</v>
      </c>
      <c r="F19" t="s">
        <v>22</v>
      </c>
      <c r="G19" s="1">
        <v>600</v>
      </c>
      <c r="H19" s="2" t="s">
        <v>12</v>
      </c>
      <c r="I19">
        <v>0</v>
      </c>
      <c r="J19">
        <v>18</v>
      </c>
    </row>
    <row r="20" spans="1:10" x14ac:dyDescent="0.3">
      <c r="A20" s="15">
        <v>2021</v>
      </c>
      <c r="B20" s="3" t="s">
        <v>30</v>
      </c>
      <c r="C20" t="s">
        <v>23</v>
      </c>
      <c r="D20" t="s">
        <v>21</v>
      </c>
      <c r="E20">
        <v>32304</v>
      </c>
      <c r="F20" t="s">
        <v>22</v>
      </c>
      <c r="G20" s="1">
        <v>600</v>
      </c>
      <c r="H20" s="2" t="s">
        <v>36</v>
      </c>
      <c r="I20">
        <v>80</v>
      </c>
      <c r="J20">
        <v>19</v>
      </c>
    </row>
    <row r="21" spans="1:10" x14ac:dyDescent="0.3">
      <c r="A21" s="15">
        <v>2021</v>
      </c>
      <c r="B21" s="3" t="s">
        <v>31</v>
      </c>
      <c r="C21" t="s">
        <v>23</v>
      </c>
      <c r="D21" t="s">
        <v>21</v>
      </c>
      <c r="E21">
        <v>32304</v>
      </c>
      <c r="F21" t="s">
        <v>22</v>
      </c>
      <c r="G21" s="1">
        <v>600</v>
      </c>
      <c r="H21" s="2" t="s">
        <v>12</v>
      </c>
      <c r="I21">
        <v>0</v>
      </c>
      <c r="J21">
        <v>20</v>
      </c>
    </row>
    <row r="22" spans="1:10" x14ac:dyDescent="0.3">
      <c r="A22" s="15">
        <v>2021</v>
      </c>
      <c r="B22" s="3" t="s">
        <v>32</v>
      </c>
      <c r="C22" t="s">
        <v>23</v>
      </c>
      <c r="D22" t="s">
        <v>21</v>
      </c>
      <c r="E22">
        <v>32304</v>
      </c>
      <c r="F22" t="s">
        <v>22</v>
      </c>
      <c r="G22" s="1">
        <v>600</v>
      </c>
      <c r="H22" s="2" t="s">
        <v>12</v>
      </c>
      <c r="I22">
        <v>0</v>
      </c>
      <c r="J22">
        <v>21</v>
      </c>
    </row>
    <row r="23" spans="1:10" x14ac:dyDescent="0.3">
      <c r="A23" s="15">
        <v>2021</v>
      </c>
      <c r="B23" s="3" t="s">
        <v>33</v>
      </c>
      <c r="C23" t="s">
        <v>23</v>
      </c>
      <c r="D23" t="s">
        <v>21</v>
      </c>
      <c r="E23">
        <v>32304</v>
      </c>
      <c r="F23" t="s">
        <v>22</v>
      </c>
      <c r="G23" s="1">
        <v>600</v>
      </c>
      <c r="H23" s="2" t="s">
        <v>12</v>
      </c>
      <c r="I23">
        <v>0</v>
      </c>
      <c r="J23">
        <v>22</v>
      </c>
    </row>
    <row r="24" spans="1:10" x14ac:dyDescent="0.3">
      <c r="A24" s="15">
        <v>2021</v>
      </c>
      <c r="B24" s="3" t="s">
        <v>34</v>
      </c>
      <c r="C24" t="s">
        <v>23</v>
      </c>
      <c r="D24" t="s">
        <v>21</v>
      </c>
      <c r="E24">
        <v>32304</v>
      </c>
      <c r="F24" t="s">
        <v>22</v>
      </c>
      <c r="G24" s="1">
        <v>600</v>
      </c>
      <c r="H24" s="2" t="s">
        <v>12</v>
      </c>
      <c r="I24">
        <v>0</v>
      </c>
      <c r="J24">
        <v>23</v>
      </c>
    </row>
    <row r="25" spans="1:10" x14ac:dyDescent="0.3">
      <c r="A25" s="15">
        <v>2021</v>
      </c>
      <c r="B25" s="3" t="s">
        <v>35</v>
      </c>
      <c r="C25" t="s">
        <v>23</v>
      </c>
      <c r="D25" t="s">
        <v>21</v>
      </c>
      <c r="E25">
        <v>32304</v>
      </c>
      <c r="F25" t="s">
        <v>22</v>
      </c>
      <c r="G25" s="1">
        <v>600</v>
      </c>
      <c r="H25" s="2" t="s">
        <v>12</v>
      </c>
      <c r="I25">
        <v>0</v>
      </c>
      <c r="J25">
        <v>24</v>
      </c>
    </row>
    <row r="26" spans="1:10" x14ac:dyDescent="0.3">
      <c r="A26" s="15">
        <v>2021</v>
      </c>
      <c r="B26" s="3" t="s">
        <v>10</v>
      </c>
      <c r="C26" t="s">
        <v>37</v>
      </c>
      <c r="D26" t="s">
        <v>21</v>
      </c>
      <c r="E26">
        <v>32310</v>
      </c>
      <c r="F26" t="s">
        <v>22</v>
      </c>
      <c r="G26" s="1">
        <v>1100</v>
      </c>
      <c r="H26" s="2" t="s">
        <v>12</v>
      </c>
      <c r="I26">
        <v>0</v>
      </c>
      <c r="J26">
        <v>25</v>
      </c>
    </row>
    <row r="27" spans="1:10" x14ac:dyDescent="0.3">
      <c r="A27" s="15">
        <v>2021</v>
      </c>
      <c r="B27" s="3" t="s">
        <v>20</v>
      </c>
      <c r="C27" t="s">
        <v>37</v>
      </c>
      <c r="D27" t="s">
        <v>21</v>
      </c>
      <c r="E27">
        <v>32310</v>
      </c>
      <c r="F27" t="s">
        <v>22</v>
      </c>
      <c r="G27" s="1">
        <v>1100</v>
      </c>
      <c r="H27" s="2" t="s">
        <v>12</v>
      </c>
      <c r="I27">
        <v>0</v>
      </c>
      <c r="J27">
        <v>26</v>
      </c>
    </row>
    <row r="28" spans="1:10" x14ac:dyDescent="0.3">
      <c r="A28" s="15">
        <v>2021</v>
      </c>
      <c r="B28" s="3" t="s">
        <v>13</v>
      </c>
      <c r="C28" t="s">
        <v>37</v>
      </c>
      <c r="D28" t="s">
        <v>21</v>
      </c>
      <c r="E28">
        <v>32310</v>
      </c>
      <c r="F28" t="s">
        <v>22</v>
      </c>
      <c r="G28" s="1">
        <v>1100</v>
      </c>
      <c r="H28" s="2" t="s">
        <v>12</v>
      </c>
      <c r="I28">
        <v>0</v>
      </c>
      <c r="J28">
        <v>27</v>
      </c>
    </row>
    <row r="29" spans="1:10" x14ac:dyDescent="0.3">
      <c r="A29" s="15">
        <v>2021</v>
      </c>
      <c r="B29" s="3" t="s">
        <v>29</v>
      </c>
      <c r="C29" t="s">
        <v>37</v>
      </c>
      <c r="D29" t="s">
        <v>21</v>
      </c>
      <c r="E29">
        <v>32310</v>
      </c>
      <c r="F29" t="s">
        <v>22</v>
      </c>
      <c r="G29" s="1">
        <v>1100</v>
      </c>
      <c r="H29" s="2" t="s">
        <v>12</v>
      </c>
      <c r="I29">
        <v>0</v>
      </c>
      <c r="J29">
        <v>28</v>
      </c>
    </row>
    <row r="30" spans="1:10" x14ac:dyDescent="0.3">
      <c r="A30" s="15">
        <v>2021</v>
      </c>
      <c r="B30" s="3" t="s">
        <v>14</v>
      </c>
      <c r="C30" t="s">
        <v>37</v>
      </c>
      <c r="D30" t="s">
        <v>21</v>
      </c>
      <c r="E30">
        <v>32310</v>
      </c>
      <c r="F30" t="s">
        <v>22</v>
      </c>
      <c r="G30" s="1">
        <v>1100</v>
      </c>
      <c r="H30" s="2" t="s">
        <v>12</v>
      </c>
      <c r="I30">
        <v>0</v>
      </c>
      <c r="J30">
        <v>29</v>
      </c>
    </row>
    <row r="31" spans="1:10" x14ac:dyDescent="0.3">
      <c r="A31" s="15">
        <v>2021</v>
      </c>
      <c r="B31" s="3" t="s">
        <v>15</v>
      </c>
      <c r="C31" t="s">
        <v>37</v>
      </c>
      <c r="D31" t="s">
        <v>21</v>
      </c>
      <c r="E31">
        <v>32310</v>
      </c>
      <c r="F31" t="s">
        <v>22</v>
      </c>
      <c r="G31" s="1">
        <v>1100</v>
      </c>
      <c r="H31" s="2" t="s">
        <v>12</v>
      </c>
      <c r="I31">
        <v>0</v>
      </c>
      <c r="J31">
        <v>30</v>
      </c>
    </row>
    <row r="32" spans="1:10" x14ac:dyDescent="0.3">
      <c r="A32" s="15">
        <v>2021</v>
      </c>
      <c r="B32" s="3" t="s">
        <v>30</v>
      </c>
      <c r="C32" t="s">
        <v>37</v>
      </c>
      <c r="D32" t="s">
        <v>21</v>
      </c>
      <c r="E32">
        <v>32310</v>
      </c>
      <c r="F32" t="s">
        <v>22</v>
      </c>
      <c r="G32" s="1">
        <v>0</v>
      </c>
      <c r="H32" s="2" t="s">
        <v>12</v>
      </c>
      <c r="I32">
        <v>0</v>
      </c>
      <c r="J32">
        <v>31</v>
      </c>
    </row>
    <row r="33" spans="1:10" x14ac:dyDescent="0.3">
      <c r="A33" s="15">
        <v>2021</v>
      </c>
      <c r="B33" s="3" t="s">
        <v>31</v>
      </c>
      <c r="C33" t="s">
        <v>37</v>
      </c>
      <c r="D33" t="s">
        <v>21</v>
      </c>
      <c r="E33">
        <v>32310</v>
      </c>
      <c r="F33" t="s">
        <v>22</v>
      </c>
      <c r="G33" s="1">
        <v>0</v>
      </c>
      <c r="H33" s="2" t="s">
        <v>12</v>
      </c>
      <c r="I33">
        <v>0</v>
      </c>
      <c r="J33">
        <v>32</v>
      </c>
    </row>
    <row r="34" spans="1:10" x14ac:dyDescent="0.3">
      <c r="A34" s="15">
        <v>2021</v>
      </c>
      <c r="B34" s="3" t="s">
        <v>32</v>
      </c>
      <c r="C34" t="s">
        <v>37</v>
      </c>
      <c r="D34" t="s">
        <v>21</v>
      </c>
      <c r="E34">
        <v>32310</v>
      </c>
      <c r="F34" t="s">
        <v>22</v>
      </c>
      <c r="G34" s="1">
        <v>1100</v>
      </c>
      <c r="H34" s="2" t="s">
        <v>12</v>
      </c>
      <c r="I34">
        <v>0</v>
      </c>
      <c r="J34">
        <v>33</v>
      </c>
    </row>
    <row r="35" spans="1:10" x14ac:dyDescent="0.3">
      <c r="A35" s="15">
        <v>2021</v>
      </c>
      <c r="B35" s="3" t="s">
        <v>33</v>
      </c>
      <c r="C35" t="s">
        <v>37</v>
      </c>
      <c r="D35" t="s">
        <v>21</v>
      </c>
      <c r="E35">
        <v>32310</v>
      </c>
      <c r="F35" t="s">
        <v>22</v>
      </c>
      <c r="G35" s="1">
        <v>1100</v>
      </c>
      <c r="H35" s="2" t="s">
        <v>12</v>
      </c>
      <c r="I35">
        <v>0</v>
      </c>
      <c r="J35">
        <v>34</v>
      </c>
    </row>
    <row r="36" spans="1:10" x14ac:dyDescent="0.3">
      <c r="A36" s="15">
        <v>2021</v>
      </c>
      <c r="B36" s="3" t="s">
        <v>34</v>
      </c>
      <c r="C36" t="s">
        <v>37</v>
      </c>
      <c r="D36" t="s">
        <v>21</v>
      </c>
      <c r="E36">
        <v>32310</v>
      </c>
      <c r="F36" t="s">
        <v>22</v>
      </c>
      <c r="G36" s="1">
        <v>1100</v>
      </c>
      <c r="H36" s="2" t="s">
        <v>12</v>
      </c>
      <c r="I36">
        <v>0</v>
      </c>
      <c r="J36">
        <v>35</v>
      </c>
    </row>
    <row r="37" spans="1:10" x14ac:dyDescent="0.3">
      <c r="A37" s="15">
        <v>2021</v>
      </c>
      <c r="B37" s="3" t="s">
        <v>35</v>
      </c>
      <c r="C37" t="s">
        <v>37</v>
      </c>
      <c r="D37" t="s">
        <v>21</v>
      </c>
      <c r="E37">
        <v>32310</v>
      </c>
      <c r="F37" t="s">
        <v>22</v>
      </c>
      <c r="G37" s="1">
        <v>1100</v>
      </c>
      <c r="H37" s="2" t="s">
        <v>12</v>
      </c>
      <c r="I37">
        <v>0</v>
      </c>
      <c r="J37">
        <v>36</v>
      </c>
    </row>
  </sheetData>
  <phoneticPr fontId="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24</v>
      </c>
      <c r="B1" s="12" t="s">
        <v>26</v>
      </c>
    </row>
    <row r="2" spans="1:2" x14ac:dyDescent="0.3">
      <c r="A2" s="10">
        <v>2021</v>
      </c>
      <c r="B2" s="11">
        <v>31500</v>
      </c>
    </row>
    <row r="3" spans="1:2" x14ac:dyDescent="0.3">
      <c r="A3" s="10" t="s">
        <v>25</v>
      </c>
      <c r="B3" s="11">
        <v>31500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14"/>
  <sheetViews>
    <sheetView workbookViewId="0">
      <selection activeCell="C12" sqref="C12"/>
    </sheetView>
  </sheetViews>
  <sheetFormatPr defaultRowHeight="14.4" x14ac:dyDescent="0.3"/>
  <cols>
    <col min="1" max="1" width="12.5546875" bestFit="1" customWidth="1"/>
    <col min="2" max="2" width="14.44140625" bestFit="1" customWidth="1"/>
  </cols>
  <sheetData>
    <row r="1" spans="1:2" x14ac:dyDescent="0.3">
      <c r="A1" s="9" t="s">
        <v>24</v>
      </c>
      <c r="B1" t="s">
        <v>26</v>
      </c>
    </row>
    <row r="2" spans="1:2" x14ac:dyDescent="0.3">
      <c r="A2" s="10" t="s">
        <v>10</v>
      </c>
      <c r="B2" s="11">
        <v>2700</v>
      </c>
    </row>
    <row r="3" spans="1:2" x14ac:dyDescent="0.3">
      <c r="A3" s="10" t="s">
        <v>20</v>
      </c>
      <c r="B3" s="11">
        <v>2700</v>
      </c>
    </row>
    <row r="4" spans="1:2" x14ac:dyDescent="0.3">
      <c r="A4" s="10" t="s">
        <v>13</v>
      </c>
      <c r="B4" s="11">
        <v>2700</v>
      </c>
    </row>
    <row r="5" spans="1:2" x14ac:dyDescent="0.3">
      <c r="A5" s="10" t="s">
        <v>15</v>
      </c>
      <c r="B5" s="11">
        <v>2600</v>
      </c>
    </row>
    <row r="6" spans="1:2" x14ac:dyDescent="0.3">
      <c r="A6" s="10" t="s">
        <v>14</v>
      </c>
      <c r="B6" s="11">
        <v>2700</v>
      </c>
    </row>
    <row r="7" spans="1:2" x14ac:dyDescent="0.3">
      <c r="A7" s="10" t="s">
        <v>29</v>
      </c>
      <c r="B7" s="11">
        <v>2700</v>
      </c>
    </row>
    <row r="8" spans="1:2" x14ac:dyDescent="0.3">
      <c r="A8" s="10" t="s">
        <v>30</v>
      </c>
      <c r="B8" s="11">
        <v>1500</v>
      </c>
    </row>
    <row r="9" spans="1:2" x14ac:dyDescent="0.3">
      <c r="A9" s="10" t="s">
        <v>31</v>
      </c>
      <c r="B9" s="11">
        <v>1600</v>
      </c>
    </row>
    <row r="10" spans="1:2" x14ac:dyDescent="0.3">
      <c r="A10" s="10" t="s">
        <v>32</v>
      </c>
      <c r="B10" s="11">
        <v>3200</v>
      </c>
    </row>
    <row r="11" spans="1:2" x14ac:dyDescent="0.3">
      <c r="A11" s="10" t="s">
        <v>33</v>
      </c>
      <c r="B11" s="11">
        <v>2700</v>
      </c>
    </row>
    <row r="12" spans="1:2" x14ac:dyDescent="0.3">
      <c r="A12" s="10" t="s">
        <v>34</v>
      </c>
      <c r="B12" s="11">
        <v>3200</v>
      </c>
    </row>
    <row r="13" spans="1:2" x14ac:dyDescent="0.3">
      <c r="A13" s="10" t="s">
        <v>35</v>
      </c>
      <c r="B13" s="11">
        <v>3200</v>
      </c>
    </row>
    <row r="14" spans="1:2" x14ac:dyDescent="0.3">
      <c r="A14" s="10" t="s">
        <v>25</v>
      </c>
      <c r="B14" s="11">
        <v>31500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19"/>
  <sheetViews>
    <sheetView workbookViewId="0">
      <selection activeCell="G15" sqref="G15"/>
    </sheetView>
  </sheetViews>
  <sheetFormatPr defaultRowHeight="14.4" x14ac:dyDescent="0.3"/>
  <cols>
    <col min="7" max="7" width="22.6640625" bestFit="1" customWidth="1"/>
    <col min="8" max="8" width="14.44140625" bestFit="1" customWidth="1"/>
  </cols>
  <sheetData>
    <row r="15" spans="7:8" x14ac:dyDescent="0.3">
      <c r="G15" s="9" t="s">
        <v>24</v>
      </c>
      <c r="H15" t="s">
        <v>26</v>
      </c>
    </row>
    <row r="16" spans="7:8" x14ac:dyDescent="0.3">
      <c r="G16" s="10" t="s">
        <v>11</v>
      </c>
      <c r="H16" s="11">
        <v>13300</v>
      </c>
    </row>
    <row r="17" spans="7:8" x14ac:dyDescent="0.3">
      <c r="G17" s="10" t="s">
        <v>37</v>
      </c>
      <c r="H17" s="11">
        <v>11000</v>
      </c>
    </row>
    <row r="18" spans="7:8" x14ac:dyDescent="0.3">
      <c r="G18" s="10" t="s">
        <v>23</v>
      </c>
      <c r="H18" s="11">
        <v>7200</v>
      </c>
    </row>
    <row r="19" spans="7:8" x14ac:dyDescent="0.3">
      <c r="G19" s="10" t="s">
        <v>25</v>
      </c>
      <c r="H19" s="11">
        <v>31500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4"/>
  <sheetViews>
    <sheetView workbookViewId="0"/>
  </sheetViews>
  <sheetFormatPr defaultRowHeight="14.4" x14ac:dyDescent="0.3"/>
  <cols>
    <col min="1" max="1" width="12.5546875" bestFit="1" customWidth="1"/>
    <col min="2" max="3" width="14.44140625" bestFit="1" customWidth="1"/>
  </cols>
  <sheetData>
    <row r="1" spans="1:2" x14ac:dyDescent="0.3">
      <c r="A1" s="9" t="s">
        <v>24</v>
      </c>
      <c r="B1" t="s">
        <v>26</v>
      </c>
    </row>
    <row r="2" spans="1:2" x14ac:dyDescent="0.3">
      <c r="A2" s="10">
        <v>32304</v>
      </c>
      <c r="B2" s="11">
        <v>20500</v>
      </c>
    </row>
    <row r="3" spans="1:2" x14ac:dyDescent="0.3">
      <c r="A3" s="10">
        <v>32310</v>
      </c>
      <c r="B3" s="11">
        <v>11000</v>
      </c>
    </row>
    <row r="4" spans="1:2" x14ac:dyDescent="0.3">
      <c r="A4" s="10" t="s">
        <v>25</v>
      </c>
      <c r="B4" s="11">
        <v>31500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2"/>
  <sheetViews>
    <sheetView workbookViewId="0">
      <selection activeCell="G18" sqref="G18"/>
    </sheetView>
  </sheetViews>
  <sheetFormatPr defaultRowHeight="14.4" x14ac:dyDescent="0.3"/>
  <cols>
    <col min="7" max="7" width="22.6640625" bestFit="1" customWidth="1"/>
    <col min="8" max="8" width="15" bestFit="1" customWidth="1"/>
  </cols>
  <sheetData>
    <row r="18" spans="7:8" x14ac:dyDescent="0.3">
      <c r="G18" s="9" t="s">
        <v>24</v>
      </c>
      <c r="H18" t="s">
        <v>27</v>
      </c>
    </row>
    <row r="19" spans="7:8" x14ac:dyDescent="0.3">
      <c r="G19" s="10" t="s">
        <v>11</v>
      </c>
      <c r="H19" s="11">
        <v>40</v>
      </c>
    </row>
    <row r="20" spans="7:8" x14ac:dyDescent="0.3">
      <c r="G20" s="10" t="s">
        <v>37</v>
      </c>
      <c r="H20" s="11">
        <v>0</v>
      </c>
    </row>
    <row r="21" spans="7:8" x14ac:dyDescent="0.3">
      <c r="G21" s="10" t="s">
        <v>23</v>
      </c>
      <c r="H21" s="11">
        <v>80</v>
      </c>
    </row>
    <row r="22" spans="7:8" x14ac:dyDescent="0.3">
      <c r="G22" s="10" t="s">
        <v>25</v>
      </c>
      <c r="H22" s="11">
        <v>120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4"/>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24</v>
      </c>
      <c r="B1" t="s">
        <v>28</v>
      </c>
    </row>
    <row r="2" spans="1:2" x14ac:dyDescent="0.3">
      <c r="A2" s="10" t="s">
        <v>12</v>
      </c>
      <c r="B2" s="11">
        <v>34</v>
      </c>
    </row>
    <row r="3" spans="1:2" x14ac:dyDescent="0.3">
      <c r="A3" s="10" t="s">
        <v>36</v>
      </c>
      <c r="B3" s="11">
        <v>2</v>
      </c>
    </row>
    <row r="4" spans="1:2" x14ac:dyDescent="0.3">
      <c r="A4" s="10" t="s">
        <v>25</v>
      </c>
      <c r="B4" s="11">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showGridLines="0" showRowColHeaders="0" tabSelected="1" zoomScaleNormal="100" workbookViewId="0">
      <selection activeCell="U14" sqref="U14"/>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3"/>
  <sheetViews>
    <sheetView workbookViewId="0">
      <selection activeCell="G17" sqref="G17"/>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16</v>
      </c>
      <c r="F1" s="4" t="s">
        <v>8</v>
      </c>
      <c r="G1" s="4" t="s">
        <v>17</v>
      </c>
      <c r="H1" s="4" t="s">
        <v>3</v>
      </c>
      <c r="I1" s="4" t="s">
        <v>18</v>
      </c>
      <c r="J1" s="4" t="s">
        <v>19</v>
      </c>
    </row>
    <row r="2" spans="1:10" x14ac:dyDescent="0.3">
      <c r="A2">
        <v>2017</v>
      </c>
      <c r="B2" t="s">
        <v>13</v>
      </c>
      <c r="C2" t="s">
        <v>38</v>
      </c>
      <c r="D2" t="s">
        <v>21</v>
      </c>
      <c r="E2">
        <v>32304</v>
      </c>
      <c r="F2" t="s">
        <v>22</v>
      </c>
      <c r="G2" t="s">
        <v>39</v>
      </c>
      <c r="H2">
        <v>1000</v>
      </c>
      <c r="I2">
        <v>333</v>
      </c>
      <c r="J2">
        <v>1</v>
      </c>
    </row>
    <row r="3" spans="1:10" x14ac:dyDescent="0.3">
      <c r="A3">
        <v>2021</v>
      </c>
      <c r="B3" t="s">
        <v>31</v>
      </c>
      <c r="C3" t="s">
        <v>38</v>
      </c>
      <c r="D3" t="s">
        <v>21</v>
      </c>
      <c r="E3">
        <v>32304</v>
      </c>
      <c r="F3" t="s">
        <v>22</v>
      </c>
      <c r="G3" t="s">
        <v>40</v>
      </c>
      <c r="H3">
        <v>2000</v>
      </c>
      <c r="I3">
        <v>366</v>
      </c>
      <c r="J3">
        <v>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2"/>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24</v>
      </c>
      <c r="O20" t="s">
        <v>26</v>
      </c>
    </row>
    <row r="21" spans="14:15" x14ac:dyDescent="0.3">
      <c r="N21" s="10">
        <v>32304</v>
      </c>
      <c r="O21" s="11">
        <v>3000</v>
      </c>
    </row>
    <row r="22" spans="14:15" x14ac:dyDescent="0.3">
      <c r="N22" s="10" t="s">
        <v>25</v>
      </c>
      <c r="O22" s="11">
        <v>3000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0"/>
  <sheetViews>
    <sheetView workbookViewId="0">
      <selection activeCell="G18" sqref="G18"/>
    </sheetView>
  </sheetViews>
  <sheetFormatPr defaultRowHeight="14.4" x14ac:dyDescent="0.3"/>
  <cols>
    <col min="7" max="7" width="22.6640625" bestFit="1" customWidth="1"/>
    <col min="8" max="8" width="14.44140625" bestFit="1" customWidth="1"/>
  </cols>
  <sheetData>
    <row r="18" spans="7:8" x14ac:dyDescent="0.3">
      <c r="G18" s="9" t="s">
        <v>24</v>
      </c>
      <c r="H18" t="s">
        <v>26</v>
      </c>
    </row>
    <row r="19" spans="7:8" x14ac:dyDescent="0.3">
      <c r="G19" s="10" t="s">
        <v>38</v>
      </c>
      <c r="H19" s="11">
        <v>3000</v>
      </c>
    </row>
    <row r="20" spans="7:8" x14ac:dyDescent="0.3">
      <c r="G20" s="10" t="s">
        <v>25</v>
      </c>
      <c r="H20" s="11">
        <v>3000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20"/>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24</v>
      </c>
      <c r="N17" t="s">
        <v>26</v>
      </c>
    </row>
    <row r="18" spans="13:14" x14ac:dyDescent="0.3">
      <c r="M18" s="10" t="s">
        <v>40</v>
      </c>
      <c r="N18" s="11">
        <v>2000</v>
      </c>
    </row>
    <row r="19" spans="13:14" x14ac:dyDescent="0.3">
      <c r="M19" s="10" t="s">
        <v>39</v>
      </c>
      <c r="N19" s="11">
        <v>1000</v>
      </c>
    </row>
    <row r="20" spans="13:14" x14ac:dyDescent="0.3">
      <c r="M20" s="10" t="s">
        <v>25</v>
      </c>
      <c r="N20" s="11">
        <v>3000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3"/>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24</v>
      </c>
      <c r="O20" t="s">
        <v>26</v>
      </c>
    </row>
    <row r="21" spans="14:15" x14ac:dyDescent="0.3">
      <c r="N21" s="10" t="s">
        <v>13</v>
      </c>
      <c r="O21" s="11">
        <v>1000</v>
      </c>
    </row>
    <row r="22" spans="14:15" x14ac:dyDescent="0.3">
      <c r="N22" s="10" t="s">
        <v>31</v>
      </c>
      <c r="O22" s="11">
        <v>2000</v>
      </c>
    </row>
    <row r="23" spans="14:15" x14ac:dyDescent="0.3">
      <c r="N23" s="10" t="s">
        <v>25</v>
      </c>
      <c r="O23" s="11">
        <v>3000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showRowColHeaders="0" zoomScaleNormal="100" workbookViewId="0">
      <selection activeCell="U9" sqref="U9"/>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cp:lastPrinted>2022-02-13T14:59:12Z</cp:lastPrinted>
  <dcterms:created xsi:type="dcterms:W3CDTF">2021-08-15T15:26:38Z</dcterms:created>
  <dcterms:modified xsi:type="dcterms:W3CDTF">2022-02-13T23:57:52Z</dcterms:modified>
</cp:coreProperties>
</file>