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sindi\Repos\Analyzing_Rents\"/>
    </mc:Choice>
  </mc:AlternateContent>
  <xr:revisionPtr revIDLastSave="0" documentId="13_ncr:1_{562AE7B3-001A-4EEF-B6C5-6264FC8754F9}" xr6:coauthVersionLast="47" xr6:coauthVersionMax="47" xr10:uidLastSave="{00000000-0000-0000-0000-000000000000}"/>
  <bookViews>
    <workbookView xWindow="-108" yWindow="-108" windowWidth="20376" windowHeight="12216" tabRatio="799" activeTab="8" xr2:uid="{5725DA2C-6A20-4D48-BFD1-3812BBB4F580}"/>
  </bookViews>
  <sheets>
    <sheet name="Start" sheetId="1" r:id="rId1"/>
    <sheet name="Revenue Data" sheetId="2" r:id="rId2"/>
    <sheet name="Rent by year" sheetId="9" state="hidden" r:id="rId3"/>
    <sheet name="Rent by month" sheetId="10" state="hidden" r:id="rId4"/>
    <sheet name="Rent by street" sheetId="12" state="hidden" r:id="rId5"/>
    <sheet name="Rent by zip code" sheetId="11" state="hidden" r:id="rId6"/>
    <sheet name="Late fees" sheetId="15" state="hidden" r:id="rId7"/>
    <sheet name="Yes No late fees" sheetId="16" state="hidden" r:id="rId8"/>
    <sheet name="Revenue Dashboard" sheetId="14" r:id="rId9"/>
    <sheet name="Expense Data" sheetId="4" r:id="rId10"/>
    <sheet name="Expense by zipcode" sheetId="17" state="hidden" r:id="rId11"/>
    <sheet name="Expense by street" sheetId="18" state="hidden" r:id="rId12"/>
    <sheet name="Expense by type" sheetId="19" state="hidden" r:id="rId13"/>
    <sheet name="Expense by month" sheetId="20" state="hidden" r:id="rId14"/>
    <sheet name="Expense Dashboard" sheetId="7" r:id="rId15"/>
  </sheets>
  <definedNames>
    <definedName name="Slicer_Year">#N/A</definedName>
    <definedName name="Slicer_Year1">#N/A</definedName>
  </definedNames>
  <calcPr calcId="191029"/>
  <pivotCaches>
    <pivotCache cacheId="4872" r:id="rId16"/>
    <pivotCache cacheId="4879" r:id="rId17"/>
  </pivotCaches>
  <extLst>
    <ext xmlns:x14="http://schemas.microsoft.com/office/spreadsheetml/2009/9/main" uri="{BBE1A952-AA13-448e-AADC-164F8A28A991}">
      <x14:slicerCaches>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<sst xmlns="http://schemas.openxmlformats.org/spreadsheetml/2006/main" count="265" uniqueCount="41">
  <si>
    <t>Month</t>
  </si>
  <si>
    <t>Address</t>
  </si>
  <si>
    <t>Year</t>
  </si>
  <si>
    <t>Amount</t>
  </si>
  <si>
    <t>Late</t>
  </si>
  <si>
    <t>Late fees</t>
  </si>
  <si>
    <t>City</t>
  </si>
  <si>
    <t>Zip code</t>
  </si>
  <si>
    <t>State</t>
  </si>
  <si>
    <t>ID</t>
  </si>
  <si>
    <t>January</t>
  </si>
  <si>
    <t>8888 Atkinson Drive Apt. 1</t>
  </si>
  <si>
    <t>No</t>
  </si>
  <si>
    <t>March</t>
  </si>
  <si>
    <t>May</t>
  </si>
  <si>
    <t>June</t>
  </si>
  <si>
    <t>Zip Code</t>
  </si>
  <si>
    <t>Type of Expenses</t>
  </si>
  <si>
    <t>Receipt/ invoice number</t>
  </si>
  <si>
    <t>Record ID</t>
  </si>
  <si>
    <t>February</t>
  </si>
  <si>
    <t>Tallahassee</t>
  </si>
  <si>
    <t>Florida</t>
  </si>
  <si>
    <t>8888 Atkinson Drive Apt. 2</t>
  </si>
  <si>
    <t>Row Labels</t>
  </si>
  <si>
    <t>Grand Total</t>
  </si>
  <si>
    <t>Sum of Amount</t>
  </si>
  <si>
    <t>Sum of Late fees</t>
  </si>
  <si>
    <t>Count of Late</t>
  </si>
  <si>
    <t>April</t>
  </si>
  <si>
    <t>July</t>
  </si>
  <si>
    <t>August</t>
  </si>
  <si>
    <t>September</t>
  </si>
  <si>
    <t>October</t>
  </si>
  <si>
    <t>November</t>
  </si>
  <si>
    <t>December</t>
  </si>
  <si>
    <t>Yes</t>
  </si>
  <si>
    <t>9999 Crawford Trace</t>
  </si>
  <si>
    <t>8888 Atkinson Drive Apt. 3</t>
  </si>
  <si>
    <t>Fix toilet</t>
  </si>
  <si>
    <t>Cut tree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</si>
</sst>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_([$$-409]* #,##0.00_);_([$$-409]* \(#,##0.00\);_([$$-409]* &quot;-&quot;??_);_(@_)"/>
    <numFmt numFmtId="165" formatCode="&quot;$&quot;#,##0.00"/>
  </numFmts>
  <fonts count="6" x14ac:knownFonts="1">
    <font>
      <sz val="11"/>
      <color theme="1"/>
      <name val="Calibri"/>
      <family val="2"/>
      <scheme val="minor"/>
    </font>
    <font>
      <sz val="11"/>
      <color theme="1"/>
      <name val="Calibri"/>
      <family val="2"/>
      <scheme val="minor"/>
    </font>
    <font>
      <b/>
      <sz val="16"/>
      <color rgb="FF000000"/>
      <name val="Calibri"/>
      <family val="2"/>
    </font>
    <font>
      <sz val="11"/>
      <color theme="7" tint="0.79998168889431442"/>
      <name val="Calibri"/>
      <family val="2"/>
      <scheme val="minor"/>
    </font>
    <font>
      <b/>
      <sz val="11"/>
      <color theme="1"/>
      <name val="Calibri"/>
      <family val="2"/>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2">
    <xf numFmtId="0" fontId="0" fillId="0" borderId="0"/>
    <xf numFmtId="44" fontId="1" fillId="0" borderId="0" applyFont="0" applyFill="0" applyBorder="0" applyAlignment="0" applyProtection="0"/>
  </cellStyleXfs>
  <cellXfs count="16">
    <xf numFmtId="0" fontId="0" fillId="0" borderId="0" xfId="0"/>
    <xf numFmtId="164" fontId="0" fillId="0" borderId="0" xfId="1" applyNumberFormat="1" applyFont="1"/>
    <xf numFmtId="14" fontId="0" fillId="0" borderId="0" xfId="0" applyNumberFormat="1"/>
    <xf numFmtId="49" fontId="0" fillId="0" borderId="0" xfId="0" applyNumberFormat="1"/>
    <xf numFmtId="0" fontId="4" fillId="0" borderId="0" xfId="0" applyFont="1"/>
    <xf numFmtId="49" fontId="4" fillId="0" borderId="0" xfId="0" applyNumberFormat="1" applyFont="1"/>
    <xf numFmtId="164" fontId="4" fillId="0" borderId="0" xfId="1" applyNumberFormat="1" applyFont="1"/>
    <xf numFmtId="14" fontId="4" fillId="0" borderId="0" xfId="0" applyNumberFormat="1" applyFont="1"/>
    <xf numFmtId="0" fontId="0" fillId="2" borderId="0" xfId="0" applyFill="1"/>
    <xf numFmtId="0" fontId="0" fillId="0" borderId="0" xfId="0" pivotButton="1"/>
    <xf numFmtId="0" fontId="0" fillId="0" borderId="0" xfId="0" applyAlignment="1">
      <alignment horizontal="left"/>
    </xf>
    <xf numFmtId="0" fontId="0" fillId="0" borderId="0" xfId="0" applyNumberFormat="1"/>
    <xf numFmtId="165" fontId="0" fillId="0" borderId="0" xfId="0" applyNumberFormat="1"/>
    <xf numFmtId="0" fontId="3" fillId="2" borderId="0" xfId="0" applyFont="1" applyFill="1"/>
    <xf numFmtId="1" fontId="4" fillId="0" borderId="0" xfId="0" applyNumberFormat="1" applyFont="1"/>
    <xf numFmtId="1" fontId="0" fillId="0" borderId="0" xfId="0" applyNumberFormat="1"/>
  </cellXfs>
  <cellStyles count="2">
    <cellStyle name="Currency" xfId="1" builtinId="4"/>
    <cellStyle name="Normal" xfId="0" builtinId="0"/>
  </cellStyles>
  <dxfs count="9">
    <dxf>
      <numFmt numFmtId="1" formatCode="0"/>
    </dxf>
    <dxf>
      <numFmt numFmtId="30" formatCode="@"/>
    </dxf>
    <dxf>
      <font>
        <b/>
        <i val="0"/>
        <strike val="0"/>
        <condense val="0"/>
        <extend val="0"/>
        <outline val="0"/>
        <shadow val="0"/>
        <u val="none"/>
        <vertAlign val="baseline"/>
        <sz val="11"/>
        <color theme="1"/>
        <name val="Calibri"/>
        <family val="2"/>
        <scheme val="minor"/>
      </font>
    </dxf>
    <dxf>
      <numFmt numFmtId="165" formatCode="&quot;$&quot;#,##0.00"/>
    </dxf>
    <dxf>
      <numFmt numFmtId="19" formatCode="m/d/yyyy"/>
    </dxf>
    <dxf>
      <font>
        <b val="0"/>
        <i val="0"/>
        <strike val="0"/>
        <condense val="0"/>
        <extend val="0"/>
        <outline val="0"/>
        <shadow val="0"/>
        <u val="none"/>
        <vertAlign val="baseline"/>
        <sz val="11"/>
        <color theme="1"/>
        <name val="Calibri"/>
        <family val="2"/>
        <scheme val="minor"/>
      </font>
      <numFmt numFmtId="164" formatCode="_([$$-409]* #,##0.00_);_([$$-409]* \(#,##0.00\);_([$$-409]* &quot;-&quot;??_);_(@_)"/>
    </dxf>
    <dxf>
      <font>
        <b/>
        <i val="0"/>
        <strike val="0"/>
        <condense val="0"/>
        <extend val="0"/>
        <outline val="0"/>
        <shadow val="0"/>
        <u val="none"/>
        <vertAlign val="baseline"/>
        <sz val="11"/>
        <color theme="1"/>
        <name val="Calibri"/>
        <family val="2"/>
        <scheme val="minor"/>
      </font>
    </dxf>
    <dxf>
      <font>
        <sz val="16"/>
        <color theme="0"/>
      </font>
      <fill>
        <patternFill>
          <bgColor theme="1"/>
        </patternFill>
      </fill>
      <border diagonalUp="0" diagonalDown="0">
        <left/>
        <right/>
        <top/>
        <bottom/>
        <vertical/>
        <horizontal/>
      </border>
    </dxf>
    <dxf>
      <font>
        <color theme="1"/>
      </font>
      <fill>
        <patternFill>
          <bgColor theme="1"/>
        </patternFill>
      </fill>
      <border diagonalUp="0" diagonalDown="0">
        <left/>
        <right/>
        <top/>
        <bottom/>
        <vertical/>
        <horizontal/>
      </border>
    </dxf>
  </dxfs>
  <tableStyles count="1" defaultTableStyle="TableStyleMedium2" defaultPivotStyle="PivotStyleLight16">
    <tableStyle name="Revenue Style" pivot="0" table="0" count="10" xr9:uid="{4312E829-E88E-4D98-9A49-6DA1C66C1EDE}">
      <tableStyleElement type="wholeTable" dxfId="8"/>
      <tableStyleElement type="headerRow" dxfId="7"/>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gradientFill>
              <stop position="0">
                <color theme="4" tint="0.59999389629810485"/>
              </stop>
              <stop position="1">
                <color theme="4"/>
              </stop>
            </gradientFill>
          </fill>
          <border>
            <left style="thin">
              <color rgb="FF999999"/>
            </left>
            <right style="thin">
              <color rgb="FF999999"/>
            </right>
            <top style="thin">
              <color rgb="FF999999"/>
            </top>
            <bottom style="thin">
              <color rgb="FF999999"/>
            </bottom>
            <vertical/>
            <horizontal/>
          </border>
        </dxf>
        <dxf>
          <font>
            <color theme="0"/>
          </font>
          <fill>
            <gradientFill degree="90">
              <stop position="0">
                <color theme="4" tint="0.59999389629810485"/>
              </stop>
              <stop position="1">
                <color theme="4"/>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font>
          <fill>
            <patternFill patternType="solid">
              <fgColor rgb="FFFFFFFF"/>
              <bgColor theme="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Revenue Style">
        <x14:slicerStyle name="Revenue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[Rents.xlsm]Rent by year!PivotTable1</c:name>
    <c:fmtId val="2"/>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year'!$B$1</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year'!$A$2:$A$3</c:f>
              <c:strCache>
                <c:ptCount val="1"/>
                <c:pt idx="0">
                  <c:v>2021</c:v>
                </c:pt>
              </c:strCache>
            </c:strRef>
          </c:cat>
          <c:val>
            <c:numRef>
              <c:f>'Rent by year'!$B$2:$B$3</c:f>
              <c:numCache>
                <c:formatCode>General</c:formatCode>
                <c:ptCount val="1"/>
                <c:pt idx="0">
                  <c:v>31500</c:v>
                </c:pt>
              </c:numCache>
            </c:numRef>
          </c:val>
          <c:extLst>
            <c:ext xmlns:c16="http://schemas.microsoft.com/office/drawing/2014/chart" uri="{C3380CC4-5D6E-409C-BE32-E72D297353CC}">
              <c16:uniqueId val="{00000000-D971-4968-8139-820E94FDF046}"/>
            </c:ext>
          </c:extLst>
        </c:ser>
        <c:dLbls>
          <c:dLblPos val="outEnd"/>
          <c:showLegendKey val="0"/>
          <c:showVal val="1"/>
          <c:showCatName val="0"/>
          <c:showSerName val="0"/>
          <c:showPercent val="0"/>
          <c:showBubbleSize val="0"/>
        </c:dLbls>
        <c:gapWidth val="219"/>
        <c:overlap val="-27"/>
        <c:axId val="1184653472"/>
        <c:axId val="1184655552"/>
      </c:barChart>
      <c:catAx>
        <c:axId val="1184653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5552"/>
        <c:crosses val="autoZero"/>
        <c:auto val="1"/>
        <c:lblAlgn val="ctr"/>
        <c:lblOffset val="100"/>
        <c:noMultiLvlLbl val="0"/>
      </c:catAx>
      <c:valAx>
        <c:axId val="11846555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4653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month!PivotTable2</c:name>
    <c:fmtId val="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solidFill>
              <a:schemeClr val="accent2"/>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month'!$B$1</c:f>
              <c:strCache>
                <c:ptCount val="1"/>
                <c:pt idx="0">
                  <c:v>Total</c:v>
                </c:pt>
              </c:strCache>
            </c:strRef>
          </c:tx>
          <c:spPr>
            <a:solidFill>
              <a:schemeClr val="accent2"/>
            </a:solidFill>
            <a:ln>
              <a:solidFill>
                <a:schemeClr val="accent2"/>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month'!$A$2:$A$14</c:f>
              <c:strCache>
                <c:ptCount val="12"/>
                <c:pt idx="0">
                  <c:v>January</c:v>
                </c:pt>
                <c:pt idx="1">
                  <c:v>February</c:v>
                </c:pt>
                <c:pt idx="2">
                  <c:v>March</c:v>
                </c:pt>
                <c:pt idx="3">
                  <c:v>June</c:v>
                </c:pt>
                <c:pt idx="4">
                  <c:v>May</c:v>
                </c:pt>
                <c:pt idx="5">
                  <c:v>April</c:v>
                </c:pt>
                <c:pt idx="6">
                  <c:v>July</c:v>
                </c:pt>
                <c:pt idx="7">
                  <c:v>August</c:v>
                </c:pt>
                <c:pt idx="8">
                  <c:v>September</c:v>
                </c:pt>
                <c:pt idx="9">
                  <c:v>October</c:v>
                </c:pt>
                <c:pt idx="10">
                  <c:v>November</c:v>
                </c:pt>
                <c:pt idx="11">
                  <c:v>December</c:v>
                </c:pt>
              </c:strCache>
            </c:strRef>
          </c:cat>
          <c:val>
            <c:numRef>
              <c:f>'Rent by month'!$B$2:$B$14</c:f>
              <c:numCache>
                <c:formatCode>General</c:formatCode>
                <c:ptCount val="12"/>
                <c:pt idx="0">
                  <c:v>2700</c:v>
                </c:pt>
                <c:pt idx="1">
                  <c:v>2700</c:v>
                </c:pt>
                <c:pt idx="2">
                  <c:v>2700</c:v>
                </c:pt>
                <c:pt idx="3">
                  <c:v>2600</c:v>
                </c:pt>
                <c:pt idx="4">
                  <c:v>2700</c:v>
                </c:pt>
                <c:pt idx="5">
                  <c:v>2700</c:v>
                </c:pt>
                <c:pt idx="6">
                  <c:v>1500</c:v>
                </c:pt>
                <c:pt idx="7">
                  <c:v>1600</c:v>
                </c:pt>
                <c:pt idx="8">
                  <c:v>3200</c:v>
                </c:pt>
                <c:pt idx="9">
                  <c:v>2700</c:v>
                </c:pt>
                <c:pt idx="10">
                  <c:v>3200</c:v>
                </c:pt>
                <c:pt idx="11">
                  <c:v>3200</c:v>
                </c:pt>
              </c:numCache>
            </c:numRef>
          </c:val>
          <c:extLst>
            <c:ext xmlns:c16="http://schemas.microsoft.com/office/drawing/2014/chart" uri="{C3380CC4-5D6E-409C-BE32-E72D297353CC}">
              <c16:uniqueId val="{00000000-3B95-4507-8CE4-527F2A084129}"/>
            </c:ext>
          </c:extLst>
        </c:ser>
        <c:dLbls>
          <c:showLegendKey val="0"/>
          <c:showVal val="0"/>
          <c:showCatName val="0"/>
          <c:showSerName val="0"/>
          <c:showPercent val="0"/>
          <c:showBubbleSize val="0"/>
        </c:dLbls>
        <c:gapWidth val="150"/>
        <c:axId val="1185197488"/>
        <c:axId val="1185195408"/>
      </c:barChart>
      <c:catAx>
        <c:axId val="1185197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5408"/>
        <c:crosses val="autoZero"/>
        <c:auto val="1"/>
        <c:lblAlgn val="ctr"/>
        <c:lblOffset val="100"/>
        <c:noMultiLvlLbl val="0"/>
      </c:catAx>
      <c:valAx>
        <c:axId val="118519540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851974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street!PivotTable3</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'Rent by street'!$H$15</c:f>
              <c:strCache>
                <c:ptCount val="1"/>
                <c:pt idx="0">
                  <c:v>Total</c:v>
                </c:pt>
              </c:strCache>
            </c:strRef>
          </c:tx>
          <c:spPr>
            <a:solidFill>
              <a:srgbClr val="92D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street'!$G$16:$G$19</c:f>
              <c:strCache>
                <c:ptCount val="3"/>
                <c:pt idx="0">
                  <c:v>8888 Atkinson Drive Apt. 1</c:v>
                </c:pt>
                <c:pt idx="1">
                  <c:v>9999 Crawford Trace</c:v>
                </c:pt>
                <c:pt idx="2">
                  <c:v>8888 Atkinson Drive Apt. 2</c:v>
                </c:pt>
              </c:strCache>
            </c:strRef>
          </c:cat>
          <c:val>
            <c:numRef>
              <c:f>'Rent by street'!$H$16:$H$19</c:f>
              <c:numCache>
                <c:formatCode>General</c:formatCode>
                <c:ptCount val="3"/>
                <c:pt idx="0">
                  <c:v>13300</c:v>
                </c:pt>
                <c:pt idx="1">
                  <c:v>11000</c:v>
                </c:pt>
                <c:pt idx="2">
                  <c:v>7200</c:v>
                </c:pt>
              </c:numCache>
            </c:numRef>
          </c:val>
          <c:extLst>
            <c:ext xmlns:c16="http://schemas.microsoft.com/office/drawing/2014/chart" uri="{C3380CC4-5D6E-409C-BE32-E72D297353CC}">
              <c16:uniqueId val="{00000000-BB6E-49AB-AA75-F30571BCCA7B}"/>
            </c:ext>
          </c:extLst>
        </c:ser>
        <c:dLbls>
          <c:showLegendKey val="0"/>
          <c:showVal val="0"/>
          <c:showCatName val="0"/>
          <c:showSerName val="0"/>
          <c:showPercent val="0"/>
          <c:showBubbleSize val="0"/>
        </c:dLbls>
        <c:gapWidth val="219"/>
        <c:overlap val="-27"/>
        <c:axId val="1153762608"/>
        <c:axId val="1153764688"/>
      </c:barChart>
      <c:catAx>
        <c:axId val="115376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4688"/>
        <c:crosses val="autoZero"/>
        <c:auto val="1"/>
        <c:lblAlgn val="ctr"/>
        <c:lblOffset val="100"/>
        <c:noMultiLvlLbl val="0"/>
      </c:catAx>
      <c:valAx>
        <c:axId val="115376468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53762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[Rents.xlsm]Rent by zip code!PivotTable4</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FF00"/>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'Rent by zip code'!$B$1</c:f>
              <c:strCache>
                <c:ptCount val="1"/>
                <c:pt idx="0">
                  <c:v>Total</c:v>
                </c:pt>
              </c:strCache>
            </c:strRef>
          </c:tx>
          <c:spPr>
            <a:solidFill>
              <a:srgbClr val="FFFF00"/>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'Rent by zip code'!$A$2:$A$4</c:f>
              <c:strCache>
                <c:ptCount val="2"/>
                <c:pt idx="0">
                  <c:v>32304</c:v>
                </c:pt>
                <c:pt idx="1">
                  <c:v>32310</c:v>
                </c:pt>
              </c:strCache>
            </c:strRef>
          </c:cat>
          <c:val>
            <c:numRef>
              <c:f>'Rent by zip code'!$B$2:$B$4</c:f>
              <c:numCache>
                <c:formatCode>General</c:formatCode>
                <c:ptCount val="2"/>
                <c:pt idx="0">
                  <c:v>20500</c:v>
                </c:pt>
                <c:pt idx="1">
                  <c:v>11000</c:v>
                </c:pt>
              </c:numCache>
            </c:numRef>
          </c:val>
          <c:extLst>
            <c:ext xmlns:c16="http://schemas.microsoft.com/office/drawing/2014/chart" uri="{C3380CC4-5D6E-409C-BE32-E72D297353CC}">
              <c16:uniqueId val="{00000000-718B-4E13-ACC4-50809CC1D0FA}"/>
            </c:ext>
          </c:extLst>
        </c:ser>
        <c:dLbls>
          <c:dLblPos val="outEnd"/>
          <c:showLegendKey val="0"/>
          <c:showVal val="1"/>
          <c:showCatName val="0"/>
          <c:showSerName val="0"/>
          <c:showPercent val="0"/>
          <c:showBubbleSize val="0"/>
        </c:dLbls>
        <c:gapWidth val="219"/>
        <c:axId val="1045568176"/>
        <c:axId val="1045565680"/>
      </c:barChart>
      <c:catAx>
        <c:axId val="10455681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5680"/>
        <c:crosses val="autoZero"/>
        <c:auto val="1"/>
        <c:lblAlgn val="ctr"/>
        <c:lblOffset val="100"/>
        <c:noMultiLvlLbl val="0"/>
      </c:catAx>
      <c:valAx>
        <c:axId val="1045565680"/>
        <c:scaling>
          <c:orientation val="minMax"/>
        </c:scaling>
        <c:delete val="0"/>
        <c:axPos val="b"/>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45568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paperSize="3" orientation="landscape"/>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[Rents.xlsm]Late fees!PivotTable5</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'Late fees'!$H$18</c:f>
              <c:strCache>
                <c:ptCount val="1"/>
                <c:pt idx="0">
                  <c:v>Total</c:v>
                </c:pt>
              </c:strCache>
            </c:strRef>
          </c:tx>
          <c:spPr>
            <a:solidFill>
              <a:schemeClr val="accent2">
                <a:lumMod val="60000"/>
                <a:lumOff val="40000"/>
              </a:schemeClr>
            </a:solidFill>
            <a:ln>
              <a:noFill/>
            </a:ln>
            <a:effectLst/>
          </c:spPr>
          <c:invertIfNegative val="0"/>
          <c:cat>
            <c:strRef>
              <c:f>'Late fees'!$G$19:$G$22</c:f>
              <c:strCache>
                <c:ptCount val="3"/>
                <c:pt idx="0">
                  <c:v>8888 Atkinson Drive Apt. 1</c:v>
                </c:pt>
                <c:pt idx="1">
                  <c:v>9999 Crawford Trace</c:v>
                </c:pt>
                <c:pt idx="2">
                  <c:v>8888 Atkinson Drive Apt. 2</c:v>
                </c:pt>
              </c:strCache>
            </c:strRef>
          </c:cat>
          <c:val>
            <c:numRef>
              <c:f>'Late fees'!$H$19:$H$22</c:f>
              <c:numCache>
                <c:formatCode>General</c:formatCode>
                <c:ptCount val="3"/>
                <c:pt idx="0">
                  <c:v>40</c:v>
                </c:pt>
                <c:pt idx="1">
                  <c:v>0</c:v>
                </c:pt>
                <c:pt idx="2">
                  <c:v>80</c:v>
                </c:pt>
              </c:numCache>
            </c:numRef>
          </c:val>
          <c:extLst>
            <c:ext xmlns:c16="http://schemas.microsoft.com/office/drawing/2014/chart" uri="{C3380CC4-5D6E-409C-BE32-E72D297353CC}">
              <c16:uniqueId val="{00000000-2150-488F-9863-E80777A77A88}"/>
            </c:ext>
          </c:extLst>
        </c:ser>
        <c:dLbls>
          <c:showLegendKey val="0"/>
          <c:showVal val="0"/>
          <c:showCatName val="0"/>
          <c:showSerName val="0"/>
          <c:showPercent val="0"/>
          <c:showBubbleSize val="0"/>
        </c:dLbls>
        <c:gapWidth val="219"/>
        <c:overlap val="-27"/>
        <c:axId val="681405264"/>
        <c:axId val="681402768"/>
      </c:barChart>
      <c:catAx>
        <c:axId val="681405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2768"/>
        <c:crosses val="autoZero"/>
        <c:auto val="1"/>
        <c:lblAlgn val="ctr"/>
        <c:lblOffset val="100"/>
        <c:noMultiLvlLbl val="0"/>
      </c:catAx>
      <c:valAx>
        <c:axId val="68140276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81405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[Rents.xlsm]Yes No late fees!PivotTable6</c:name>
    <c:fmtId val="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'Yes No late fees'!$B$1</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6F0-4D2B-BD4A-819C89E33B68}"/>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6F0-4D2B-BD4A-819C89E33B6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'Yes No late fees'!$A$2:$A$4</c:f>
              <c:strCache>
                <c:ptCount val="2"/>
                <c:pt idx="0">
                  <c:v>No</c:v>
                </c:pt>
                <c:pt idx="1">
                  <c:v>Yes</c:v>
                </c:pt>
              </c:strCache>
            </c:strRef>
          </c:cat>
          <c:val>
            <c:numRef>
              <c:f>'Yes No late fees'!$B$2:$B$4</c:f>
              <c:numCache>
                <c:formatCode>General</c:formatCode>
                <c:ptCount val="2"/>
                <c:pt idx="0">
                  <c:v>34</c:v>
                </c:pt>
                <c:pt idx="1">
                  <c:v>2</c:v>
                </c:pt>
              </c:numCache>
            </c:numRef>
          </c:val>
          <c:extLst>
            <c:ext xmlns:c16="http://schemas.microsoft.com/office/drawing/2014/chart" uri="{C3380CC4-5D6E-409C-BE32-E72D297353CC}">
              <c16:uniqueId val="{00000004-06F0-4D2B-BD4A-819C89E33B68}"/>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zipcode!PivotTable7</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zipcode'!$O$20</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zipcode'!$N$21:$N$22</c:f>
              <c:strCache>
                <c:ptCount val="1"/>
                <c:pt idx="0">
                  <c:v>32304</c:v>
                </c:pt>
              </c:strCache>
            </c:strRef>
          </c:cat>
          <c:val>
            <c:numRef>
              <c:f>'Expense by zipcode'!$O$21:$O$22</c:f>
              <c:numCache>
                <c:formatCode>General</c:formatCode>
                <c:ptCount val="1"/>
                <c:pt idx="0">
                  <c:v>3000</c:v>
                </c:pt>
              </c:numCache>
            </c:numRef>
          </c:val>
          <c:extLst>
            <c:ext xmlns:c16="http://schemas.microsoft.com/office/drawing/2014/chart" uri="{C3380CC4-5D6E-409C-BE32-E72D297353CC}">
              <c16:uniqueId val="{00000000-6744-4CF6-9FE2-DDCE08BFE78F}"/>
            </c:ext>
          </c:extLst>
        </c:ser>
        <c:dLbls>
          <c:dLblPos val="outEnd"/>
          <c:showLegendKey val="0"/>
          <c:showVal val="1"/>
          <c:showCatName val="0"/>
          <c:showSerName val="0"/>
          <c:showPercent val="0"/>
          <c:showBubbleSize val="0"/>
        </c:dLbls>
        <c:gapWidth val="219"/>
        <c:axId val="1438944496"/>
        <c:axId val="1438938256"/>
      </c:barChart>
      <c:catAx>
        <c:axId val="1438944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38938256"/>
        <c:crosses val="autoZero"/>
        <c:auto val="1"/>
        <c:lblAlgn val="ctr"/>
        <c:lblOffset val="100"/>
        <c:noMultiLvlLbl val="0"/>
      </c:catAx>
      <c:valAx>
        <c:axId val="143893825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38944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street!PivotTable8</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street'!$H$18</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street'!$G$19:$G$20</c:f>
              <c:strCache>
                <c:ptCount val="1"/>
                <c:pt idx="0">
                  <c:v>8888 Atkinson Drive Apt. 3</c:v>
                </c:pt>
              </c:strCache>
            </c:strRef>
          </c:cat>
          <c:val>
            <c:numRef>
              <c:f>'Expense by street'!$H$19:$H$20</c:f>
              <c:numCache>
                <c:formatCode>General</c:formatCode>
                <c:ptCount val="1"/>
                <c:pt idx="0">
                  <c:v>3000</c:v>
                </c:pt>
              </c:numCache>
            </c:numRef>
          </c:val>
          <c:extLst>
            <c:ext xmlns:c16="http://schemas.microsoft.com/office/drawing/2014/chart" uri="{C3380CC4-5D6E-409C-BE32-E72D297353CC}">
              <c16:uniqueId val="{00000000-4B16-429B-BA41-839EF270497B}"/>
            </c:ext>
          </c:extLst>
        </c:ser>
        <c:dLbls>
          <c:dLblPos val="outEnd"/>
          <c:showLegendKey val="0"/>
          <c:showVal val="1"/>
          <c:showCatName val="0"/>
          <c:showSerName val="0"/>
          <c:showPercent val="0"/>
          <c:showBubbleSize val="0"/>
        </c:dLbls>
        <c:gapWidth val="219"/>
        <c:overlap val="-27"/>
        <c:axId val="1046268832"/>
        <c:axId val="1046269248"/>
      </c:barChart>
      <c:catAx>
        <c:axId val="10462688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46269248"/>
        <c:crosses val="autoZero"/>
        <c:auto val="1"/>
        <c:lblAlgn val="ctr"/>
        <c:lblOffset val="100"/>
        <c:noMultiLvlLbl val="0"/>
      </c:catAx>
      <c:valAx>
        <c:axId val="104626924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46268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type!PivotTable9</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type'!$N$17</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type'!$M$18:$M$20</c:f>
              <c:strCache>
                <c:ptCount val="2"/>
                <c:pt idx="0">
                  <c:v>Cut tree</c:v>
                </c:pt>
                <c:pt idx="1">
                  <c:v>Fix toilet</c:v>
                </c:pt>
              </c:strCache>
            </c:strRef>
          </c:cat>
          <c:val>
            <c:numRef>
              <c:f>'Expense by type'!$N$18:$N$20</c:f>
              <c:numCache>
                <c:formatCode>General</c:formatCode>
                <c:ptCount val="2"/>
                <c:pt idx="0">
                  <c:v>2000</c:v>
                </c:pt>
                <c:pt idx="1">
                  <c:v>1000</c:v>
                </c:pt>
              </c:numCache>
            </c:numRef>
          </c:val>
          <c:extLst>
            <c:ext xmlns:c16="http://schemas.microsoft.com/office/drawing/2014/chart" uri="{C3380CC4-5D6E-409C-BE32-E72D297353CC}">
              <c16:uniqueId val="{00000000-C9CC-4B09-954D-D55B6A3B635A}"/>
            </c:ext>
          </c:extLst>
        </c:ser>
        <c:dLbls>
          <c:showLegendKey val="0"/>
          <c:showVal val="0"/>
          <c:showCatName val="0"/>
          <c:showSerName val="0"/>
          <c:showPercent val="0"/>
          <c:showBubbleSize val="0"/>
        </c:dLbls>
        <c:gapWidth val="219"/>
        <c:overlap val="-27"/>
        <c:axId val="1184658048"/>
        <c:axId val="1184655552"/>
      </c:barChart>
      <c:catAx>
        <c:axId val="1184658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84655552"/>
        <c:crosses val="autoZero"/>
        <c:auto val="1"/>
        <c:lblAlgn val="ctr"/>
        <c:lblOffset val="100"/>
        <c:noMultiLvlLbl val="0"/>
      </c:catAx>
      <c:valAx>
        <c:axId val="118465555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84658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[Rents.xlsm]Expense by month!PivotTable10</c:name>
    <c:fmtId val="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bg2">
              <a:lumMod val="10000"/>
            </a:schemeClr>
          </a:solidFill>
          <a:ln>
            <a:no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'Expense by month'!$O$20</c:f>
              <c:strCache>
                <c:ptCount val="1"/>
                <c:pt idx="0">
                  <c:v>Total</c:v>
                </c:pt>
              </c:strCache>
            </c:strRef>
          </c:tx>
          <c:spPr>
            <a:solidFill>
              <a:schemeClr val="bg2">
                <a:lumMod val="10000"/>
              </a:schemeClr>
            </a:solidFill>
            <a:ln>
              <a:noFill/>
            </a:ln>
            <a:effectLst/>
          </c:spPr>
          <c:invertIfNegative val="0"/>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'Expense by month'!$N$21:$N$23</c:f>
              <c:strCache>
                <c:ptCount val="2"/>
                <c:pt idx="0">
                  <c:v>March</c:v>
                </c:pt>
                <c:pt idx="1">
                  <c:v>August</c:v>
                </c:pt>
              </c:strCache>
            </c:strRef>
          </c:cat>
          <c:val>
            <c:numRef>
              <c:f>'Expense by month'!$O$21:$O$23</c:f>
              <c:numCache>
                <c:formatCode>General</c:formatCode>
                <c:ptCount val="2"/>
                <c:pt idx="0">
                  <c:v>1000</c:v>
                </c:pt>
                <c:pt idx="1">
                  <c:v>2000</c:v>
                </c:pt>
              </c:numCache>
            </c:numRef>
          </c:val>
          <c:extLst>
            <c:ext xmlns:c16="http://schemas.microsoft.com/office/drawing/2014/chart" uri="{C3380CC4-5D6E-409C-BE32-E72D297353CC}">
              <c16:uniqueId val="{00000000-61F7-4A7C-88A7-3DC22428FCCD}"/>
            </c:ext>
          </c:extLst>
        </c:ser>
        <c:dLbls>
          <c:dLblPos val="outEnd"/>
          <c:showLegendKey val="0"/>
          <c:showVal val="1"/>
          <c:showCatName val="0"/>
          <c:showSerName val="0"/>
          <c:showPercent val="0"/>
          <c:showBubbleSize val="0"/>
        </c:dLbls>
        <c:gapWidth val="219"/>
        <c:overlap val="-27"/>
        <c:axId val="1172221648"/>
        <c:axId val="1172222896"/>
      </c:barChart>
      <c:catAx>
        <c:axId val="1172221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2222896"/>
        <c:crosses val="autoZero"/>
        <c:auto val="1"/>
        <c:lblAlgn val="ctr"/>
        <c:lblOffset val="100"/>
        <c:noMultiLvlLbl val="0"/>
      </c:catAx>
      <c:valAx>
        <c:axId val="117222289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722216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chart" Target="../charts/chart6.xml"/><Relationship Id="rId3" Type="http://schemas.openxmlformats.org/officeDocument/2006/relationships/chart" Target="../charts/chart4.xml"/><Relationship Id="rId7" Type="http://schemas.openxmlformats.org/officeDocument/2006/relationships/image" Target="../media/image3.png"/><Relationship Id="rId12" Type="http://schemas.openxmlformats.org/officeDocument/2006/relationships/image" Target="../media/image8.sv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2.svg"/><Relationship Id="rId11" Type="http://schemas.openxmlformats.org/officeDocument/2006/relationships/image" Target="../media/image7.png"/><Relationship Id="rId5" Type="http://schemas.openxmlformats.org/officeDocument/2006/relationships/image" Target="../media/image1.png"/><Relationship Id="rId15" Type="http://schemas.openxmlformats.org/officeDocument/2006/relationships/image" Target="../media/image10.svg"/><Relationship Id="rId10" Type="http://schemas.openxmlformats.org/officeDocument/2006/relationships/image" Target="../media/image6.svg"/><Relationship Id="rId4" Type="http://schemas.openxmlformats.org/officeDocument/2006/relationships/chart" Target="../charts/chart5.xml"/><Relationship Id="rId9" Type="http://schemas.openxmlformats.org/officeDocument/2006/relationships/image" Target="../media/image5.png"/><Relationship Id="rId14" Type="http://schemas.openxmlformats.org/officeDocument/2006/relationships/image" Target="../media/image9.png"/></Relationships>
</file>

<file path=xl/drawings/_rels/drawing4.xml.rels><?xml version="1.0" encoding="UTF-8" standalone="yes"?>
<Relationships xmlns="http://schemas.openxmlformats.org/package/2006/relationships"><Relationship Id="rId8" Type="http://schemas.openxmlformats.org/officeDocument/2006/relationships/image" Target="../media/image2.svg"/><Relationship Id="rId13" Type="http://schemas.openxmlformats.org/officeDocument/2006/relationships/image" Target="../media/image17.png"/><Relationship Id="rId3" Type="http://schemas.openxmlformats.org/officeDocument/2006/relationships/chart" Target="../charts/chart9.xml"/><Relationship Id="rId7" Type="http://schemas.openxmlformats.org/officeDocument/2006/relationships/image" Target="../media/image1.png"/><Relationship Id="rId12" Type="http://schemas.openxmlformats.org/officeDocument/2006/relationships/image" Target="../media/image16.sv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0.xml"/><Relationship Id="rId11" Type="http://schemas.openxmlformats.org/officeDocument/2006/relationships/image" Target="../media/image15.png"/><Relationship Id="rId5" Type="http://schemas.openxmlformats.org/officeDocument/2006/relationships/image" Target="../media/image12.svg"/><Relationship Id="rId10" Type="http://schemas.openxmlformats.org/officeDocument/2006/relationships/image" Target="../media/image14.svg"/><Relationship Id="rId4" Type="http://schemas.openxmlformats.org/officeDocument/2006/relationships/image" Target="../media/image11.png"/><Relationship Id="rId9" Type="http://schemas.openxmlformats.org/officeDocument/2006/relationships/image" Target="../media/image13.png"/><Relationship Id="rId14" Type="http://schemas.openxmlformats.org/officeDocument/2006/relationships/image" Target="../media/image18.sv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3</xdr:row>
          <xdr:rowOff>167640</xdr:rowOff>
        </xdr:from>
        <xdr:to>
          <xdr:col>4</xdr:col>
          <xdr:colOff>99060</xdr:colOff>
          <xdr:row>7</xdr:row>
          <xdr:rowOff>129540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Add Revenue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53340</xdr:colOff>
          <xdr:row>8</xdr:row>
          <xdr:rowOff>15240</xdr:rowOff>
        </xdr:from>
        <xdr:to>
          <xdr:col>4</xdr:col>
          <xdr:colOff>99060</xdr:colOff>
          <xdr:row>11</xdr:row>
          <xdr:rowOff>160020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Open Revenue Dashboard</a:t>
              </a:r>
            </a:p>
          </xdr:txBody>
        </xdr:sp>
        <xdr:clientData fPrintsWithSheet="0"/>
      </xdr:twoCellAnchor>
    </mc:Choice>
    <mc:Fallback/>
  </mc:AlternateContent>
  <xdr:twoCellAnchor>
    <xdr:from>
      <xdr:col>1</xdr:col>
      <xdr:colOff>3606</xdr:colOff>
      <xdr:row>0</xdr:row>
      <xdr:rowOff>86423</xdr:rowOff>
    </xdr:from>
    <xdr:to>
      <xdr:col>7</xdr:col>
      <xdr:colOff>527538</xdr:colOff>
      <xdr:row>3</xdr:row>
      <xdr:rowOff>91187</xdr:rowOff>
    </xdr:to>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627061" y="86423"/>
          <a:ext cx="4264659" cy="548288"/>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1">
              <a:solidFill>
                <a:schemeClr val="accent5">
                  <a:lumMod val="50000"/>
                </a:schemeClr>
              </a:solidFill>
            </a:rPr>
            <a:t>Welcome! What would you like to do?</a:t>
          </a:r>
        </a:p>
      </xdr:txBody>
    </xdr:sp>
    <xdr:clientData/>
  </xdr:twoCellAnchor>
  <mc:AlternateContent xmlns:mc="http://schemas.openxmlformats.org/markup-compatibility/2006">
    <mc:Choice xmlns:a14="http://schemas.microsoft.com/office/drawing/2010/main" Requires="a14">
      <xdr:twoCellAnchor>
        <xdr:from>
          <xdr:col>2</xdr:col>
          <xdr:colOff>609600</xdr:colOff>
          <xdr:row>12</xdr:row>
          <xdr:rowOff>38100</xdr:rowOff>
        </xdr:from>
        <xdr:to>
          <xdr:col>6</xdr:col>
          <xdr:colOff>0</xdr:colOff>
          <xdr:row>16</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Save &amp; 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441960</xdr:colOff>
          <xdr:row>3</xdr:row>
          <xdr:rowOff>175260</xdr:rowOff>
        </xdr:from>
        <xdr:to>
          <xdr:col>7</xdr:col>
          <xdr:colOff>472440</xdr:colOff>
          <xdr:row>7</xdr:row>
          <xdr:rowOff>137160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Add Expense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434340</xdr:colOff>
          <xdr:row>8</xdr:row>
          <xdr:rowOff>15240</xdr:rowOff>
        </xdr:from>
        <xdr:to>
          <xdr:col>7</xdr:col>
          <xdr:colOff>480060</xdr:colOff>
          <xdr:row>11</xdr:row>
          <xdr:rowOff>160020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Open Expense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19594</xdr:colOff>
      <xdr:row>6</xdr:row>
      <xdr:rowOff>61504</xdr:rowOff>
    </xdr:from>
    <xdr:to>
      <xdr:col>9</xdr:col>
      <xdr:colOff>408214</xdr:colOff>
      <xdr:row>14</xdr:row>
      <xdr:rowOff>153488</xdr:rowOff>
    </xdr:to>
    <xdr:graphicFrame macro="">
      <xdr:nvGraphicFramePr>
        <xdr:cNvPr id="3" name="Chart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15</xdr:col>
      <xdr:colOff>403154</xdr:colOff>
      <xdr:row>2</xdr:row>
      <xdr:rowOff>25269</xdr:rowOff>
    </xdr:from>
    <xdr:to>
      <xdr:col>19</xdr:col>
      <xdr:colOff>428554</xdr:colOff>
      <xdr:row>11</xdr:row>
      <xdr:rowOff>109765</xdr:rowOff>
    </xdr:to>
    <xdr:sp macro="" textlink="">
      <xdr:nvSpPr>
        <xdr:cNvPr id="27" name="Rectangle 26">
          <a:extLst>
            <a:ext uri="{FF2B5EF4-FFF2-40B4-BE49-F238E27FC236}">
              <a16:creationId xmlns:a16="http://schemas.microsoft.com/office/drawing/2014/main" id="{00000000-0008-0000-0800-00001B000000}"/>
            </a:ext>
          </a:extLst>
        </xdr:cNvPr>
        <xdr:cNvSpPr/>
      </xdr:nvSpPr>
      <xdr:spPr>
        <a:xfrm>
          <a:off x="9547154" y="391029"/>
          <a:ext cx="2463800" cy="1730416"/>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7146</xdr:colOff>
      <xdr:row>11</xdr:row>
      <xdr:rowOff>141428</xdr:rowOff>
    </xdr:from>
    <xdr:to>
      <xdr:col>19</xdr:col>
      <xdr:colOff>427770</xdr:colOff>
      <xdr:row>24</xdr:row>
      <xdr:rowOff>91440</xdr:rowOff>
    </xdr:to>
    <xdr:sp macro="" textlink="">
      <xdr:nvSpPr>
        <xdr:cNvPr id="11" name="Rectangle 10">
          <a:extLst>
            <a:ext uri="{FF2B5EF4-FFF2-40B4-BE49-F238E27FC236}">
              <a16:creationId xmlns:a16="http://schemas.microsoft.com/office/drawing/2014/main" id="{00000000-0008-0000-0800-00000B000000}"/>
            </a:ext>
          </a:extLst>
        </xdr:cNvPr>
        <xdr:cNvSpPr/>
      </xdr:nvSpPr>
      <xdr:spPr>
        <a:xfrm>
          <a:off x="6103146" y="2153108"/>
          <a:ext cx="5907024" cy="2327452"/>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149706</xdr:colOff>
      <xdr:row>11</xdr:row>
      <xdr:rowOff>133573</xdr:rowOff>
    </xdr:from>
    <xdr:to>
      <xdr:col>9</xdr:col>
      <xdr:colOff>570330</xdr:colOff>
      <xdr:row>24</xdr:row>
      <xdr:rowOff>87853</xdr:rowOff>
    </xdr:to>
    <xdr:sp macro="" textlink="">
      <xdr:nvSpPr>
        <xdr:cNvPr id="10" name="Rectangle 9">
          <a:extLst>
            <a:ext uri="{FF2B5EF4-FFF2-40B4-BE49-F238E27FC236}">
              <a16:creationId xmlns:a16="http://schemas.microsoft.com/office/drawing/2014/main" id="{00000000-0008-0000-0800-00000A000000}"/>
            </a:ext>
          </a:extLst>
        </xdr:cNvPr>
        <xdr:cNvSpPr/>
      </xdr:nvSpPr>
      <xdr:spPr>
        <a:xfrm>
          <a:off x="149706" y="2145253"/>
          <a:ext cx="5907024" cy="2331720"/>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63500</xdr:colOff>
      <xdr:row>2</xdr:row>
      <xdr:rowOff>15491</xdr:rowOff>
    </xdr:from>
    <xdr:to>
      <xdr:col>15</xdr:col>
      <xdr:colOff>328676</xdr:colOff>
      <xdr:row>11</xdr:row>
      <xdr:rowOff>97787</xdr:rowOff>
    </xdr:to>
    <xdr:sp macro="" textlink="">
      <xdr:nvSpPr>
        <xdr:cNvPr id="9" name="Rectangle 8">
          <a:extLst>
            <a:ext uri="{FF2B5EF4-FFF2-40B4-BE49-F238E27FC236}">
              <a16:creationId xmlns:a16="http://schemas.microsoft.com/office/drawing/2014/main" id="{00000000-0008-0000-0800-000009000000}"/>
            </a:ext>
          </a:extLst>
        </xdr:cNvPr>
        <xdr:cNvSpPr/>
      </xdr:nvSpPr>
      <xdr:spPr>
        <a:xfrm>
          <a:off x="5549900" y="381251"/>
          <a:ext cx="3922776" cy="1728216"/>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379161</xdr:colOff>
      <xdr:row>2</xdr:row>
      <xdr:rowOff>7824</xdr:rowOff>
    </xdr:from>
    <xdr:to>
      <xdr:col>9</xdr:col>
      <xdr:colOff>33020</xdr:colOff>
      <xdr:row>11</xdr:row>
      <xdr:rowOff>91439</xdr:rowOff>
    </xdr:to>
    <xdr:sp macro="" textlink="">
      <xdr:nvSpPr>
        <xdr:cNvPr id="8" name="Rectangle 7">
          <a:extLst>
            <a:ext uri="{FF2B5EF4-FFF2-40B4-BE49-F238E27FC236}">
              <a16:creationId xmlns:a16="http://schemas.microsoft.com/office/drawing/2014/main" id="{00000000-0008-0000-0800-000008000000}"/>
            </a:ext>
          </a:extLst>
        </xdr:cNvPr>
        <xdr:cNvSpPr/>
      </xdr:nvSpPr>
      <xdr:spPr>
        <a:xfrm>
          <a:off x="1598361" y="373584"/>
          <a:ext cx="3921059" cy="1729535"/>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17780</xdr:rowOff>
    </xdr:from>
    <xdr:to>
      <xdr:col>19</xdr:col>
      <xdr:colOff>432062</xdr:colOff>
      <xdr:row>1</xdr:row>
      <xdr:rowOff>162560</xdr:rowOff>
    </xdr:to>
    <xdr:sp macro="" textlink="">
      <xdr:nvSpPr>
        <xdr:cNvPr id="2" name="Rectangle 1">
          <a:extLst>
            <a:ext uri="{FF2B5EF4-FFF2-40B4-BE49-F238E27FC236}">
              <a16:creationId xmlns:a16="http://schemas.microsoft.com/office/drawing/2014/main" id="{00000000-0008-0000-0800-000002000000}"/>
            </a:ext>
          </a:extLst>
        </xdr:cNvPr>
        <xdr:cNvSpPr/>
      </xdr:nvSpPr>
      <xdr:spPr>
        <a:xfrm>
          <a:off x="0" y="17780"/>
          <a:ext cx="12014462" cy="327660"/>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latin typeface="Arial" panose="020B0604020202020204" pitchFamily="34" charset="0"/>
              <a:cs typeface="Arial" panose="020B0604020202020204" pitchFamily="34" charset="0"/>
            </a:rPr>
            <a:t>REVENUE DASHBOARD</a:t>
          </a:r>
        </a:p>
      </xdr:txBody>
    </xdr:sp>
    <xdr:clientData/>
  </xdr:twoCellAnchor>
  <xdr:twoCellAnchor>
    <xdr:from>
      <xdr:col>0</xdr:col>
      <xdr:colOff>197800</xdr:colOff>
      <xdr:row>12</xdr:row>
      <xdr:rowOff>9615</xdr:rowOff>
    </xdr:from>
    <xdr:to>
      <xdr:col>2</xdr:col>
      <xdr:colOff>473375</xdr:colOff>
      <xdr:row>13</xdr:row>
      <xdr:rowOff>153947</xdr:rowOff>
    </xdr:to>
    <xdr:sp macro="" textlink="">
      <xdr:nvSpPr>
        <xdr:cNvPr id="3" name="Flowchart: Terminator 2">
          <a:extLst>
            <a:ext uri="{FF2B5EF4-FFF2-40B4-BE49-F238E27FC236}">
              <a16:creationId xmlns:a16="http://schemas.microsoft.com/office/drawing/2014/main" id="{00000000-0008-0000-0800-000003000000}"/>
            </a:ext>
          </a:extLst>
        </xdr:cNvPr>
        <xdr:cNvSpPr/>
      </xdr:nvSpPr>
      <xdr:spPr>
        <a:xfrm>
          <a:off x="197800" y="2204175"/>
          <a:ext cx="1494775" cy="327212"/>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Month</a:t>
          </a:r>
        </a:p>
      </xdr:txBody>
    </xdr:sp>
    <xdr:clientData/>
  </xdr:twoCellAnchor>
  <xdr:twoCellAnchor>
    <xdr:from>
      <xdr:col>2</xdr:col>
      <xdr:colOff>442426</xdr:colOff>
      <xdr:row>2</xdr:row>
      <xdr:rowOff>42059</xdr:rowOff>
    </xdr:from>
    <xdr:to>
      <xdr:col>5</xdr:col>
      <xdr:colOff>109257</xdr:colOff>
      <xdr:row>4</xdr:row>
      <xdr:rowOff>3510</xdr:rowOff>
    </xdr:to>
    <xdr:sp macro="" textlink="">
      <xdr:nvSpPr>
        <xdr:cNvPr id="4" name="Flowchart: Terminator 3">
          <a:extLst>
            <a:ext uri="{FF2B5EF4-FFF2-40B4-BE49-F238E27FC236}">
              <a16:creationId xmlns:a16="http://schemas.microsoft.com/office/drawing/2014/main" id="{00000000-0008-0000-0800-000004000000}"/>
            </a:ext>
          </a:extLst>
        </xdr:cNvPr>
        <xdr:cNvSpPr/>
      </xdr:nvSpPr>
      <xdr:spPr>
        <a:xfrm>
          <a:off x="1661626" y="407819"/>
          <a:ext cx="1495631" cy="327211"/>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twoCellAnchor>
    <xdr:from>
      <xdr:col>10</xdr:col>
      <xdr:colOff>41365</xdr:colOff>
      <xdr:row>12</xdr:row>
      <xdr:rowOff>6658</xdr:rowOff>
    </xdr:from>
    <xdr:to>
      <xdr:col>12</xdr:col>
      <xdr:colOff>317797</xdr:colOff>
      <xdr:row>13</xdr:row>
      <xdr:rowOff>147404</xdr:rowOff>
    </xdr:to>
    <xdr:sp macro="" textlink="">
      <xdr:nvSpPr>
        <xdr:cNvPr id="5" name="Flowchart: Terminator 4">
          <a:extLst>
            <a:ext uri="{FF2B5EF4-FFF2-40B4-BE49-F238E27FC236}">
              <a16:creationId xmlns:a16="http://schemas.microsoft.com/office/drawing/2014/main" id="{00000000-0008-0000-0800-000005000000}"/>
            </a:ext>
          </a:extLst>
        </xdr:cNvPr>
        <xdr:cNvSpPr/>
      </xdr:nvSpPr>
      <xdr:spPr>
        <a:xfrm>
          <a:off x="6137365" y="2201218"/>
          <a:ext cx="1495632" cy="323626"/>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9</xdr:col>
      <xdr:colOff>96108</xdr:colOff>
      <xdr:row>2</xdr:row>
      <xdr:rowOff>54436</xdr:rowOff>
    </xdr:from>
    <xdr:to>
      <xdr:col>11</xdr:col>
      <xdr:colOff>372540</xdr:colOff>
      <xdr:row>4</xdr:row>
      <xdr:rowOff>15887</xdr:rowOff>
    </xdr:to>
    <xdr:sp macro="" textlink="">
      <xdr:nvSpPr>
        <xdr:cNvPr id="6" name="Flowchart: Terminator 5">
          <a:extLst>
            <a:ext uri="{FF2B5EF4-FFF2-40B4-BE49-F238E27FC236}">
              <a16:creationId xmlns:a16="http://schemas.microsoft.com/office/drawing/2014/main" id="{00000000-0008-0000-0800-000006000000}"/>
            </a:ext>
          </a:extLst>
        </xdr:cNvPr>
        <xdr:cNvSpPr/>
      </xdr:nvSpPr>
      <xdr:spPr>
        <a:xfrm>
          <a:off x="5582508" y="420196"/>
          <a:ext cx="1495632" cy="327211"/>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Late</a:t>
          </a:r>
          <a:r>
            <a:rPr lang="en-US" sz="1100" baseline="0"/>
            <a:t> fees</a:t>
          </a:r>
          <a:endParaRPr lang="en-US" sz="1100"/>
        </a:p>
      </xdr:txBody>
    </xdr:sp>
    <xdr:clientData/>
  </xdr:twoCellAnchor>
  <xdr:twoCellAnchor>
    <xdr:from>
      <xdr:col>0</xdr:col>
      <xdr:colOff>229496</xdr:colOff>
      <xdr:row>15</xdr:row>
      <xdr:rowOff>114301</xdr:rowOff>
    </xdr:from>
    <xdr:to>
      <xdr:col>9</xdr:col>
      <xdr:colOff>312420</xdr:colOff>
      <xdr:row>25</xdr:row>
      <xdr:rowOff>7621</xdr:rowOff>
    </xdr:to>
    <xdr:graphicFrame macro="">
      <xdr:nvGraphicFramePr>
        <xdr:cNvPr id="12" name="Chart 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190500</xdr:colOff>
      <xdr:row>15</xdr:row>
      <xdr:rowOff>83820</xdr:rowOff>
    </xdr:from>
    <xdr:to>
      <xdr:col>19</xdr:col>
      <xdr:colOff>312420</xdr:colOff>
      <xdr:row>23</xdr:row>
      <xdr:rowOff>167640</xdr:rowOff>
    </xdr:to>
    <xdr:graphicFrame macro="">
      <xdr:nvGraphicFramePr>
        <xdr:cNvPr id="13" name="Chart 1">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410635</xdr:colOff>
      <xdr:row>5</xdr:row>
      <xdr:rowOff>172666</xdr:rowOff>
    </xdr:from>
    <xdr:to>
      <xdr:col>8</xdr:col>
      <xdr:colOff>469901</xdr:colOff>
      <xdr:row>11</xdr:row>
      <xdr:rowOff>84667</xdr:rowOff>
    </xdr:to>
    <xdr:graphicFrame macro="">
      <xdr:nvGraphicFramePr>
        <xdr:cNvPr id="14" name="Chart 1">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86298</xdr:colOff>
      <xdr:row>3</xdr:row>
      <xdr:rowOff>46568</xdr:rowOff>
    </xdr:from>
    <xdr:to>
      <xdr:col>2</xdr:col>
      <xdr:colOff>83819</xdr:colOff>
      <xdr:row>11</xdr:row>
      <xdr:rowOff>0</xdr:rowOff>
    </xdr:to>
    <mc:AlternateContent xmlns:mc="http://schemas.openxmlformats.org/markup-compatibility/2006" xmlns:a14="http://schemas.microsoft.com/office/drawing/2010/main">
      <mc:Choice Requires="a14">
        <xdr:graphicFrame macro="">
          <xdr:nvGraphicFramePr>
            <xdr:cNvPr id="16" name="Year">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86298" y="588609"/>
              <a:ext cx="1223006" cy="13988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66039</xdr:colOff>
      <xdr:row>4</xdr:row>
      <xdr:rowOff>98613</xdr:rowOff>
    </xdr:from>
    <xdr:to>
      <xdr:col>15</xdr:col>
      <xdr:colOff>452120</xdr:colOff>
      <xdr:row>11</xdr:row>
      <xdr:rowOff>76200</xdr:rowOff>
    </xdr:to>
    <xdr:graphicFrame macro="">
      <xdr:nvGraphicFramePr>
        <xdr:cNvPr id="17" name="Chart 1">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593352</xdr:colOff>
      <xdr:row>12</xdr:row>
      <xdr:rowOff>21647</xdr:rowOff>
    </xdr:from>
    <xdr:to>
      <xdr:col>1</xdr:col>
      <xdr:colOff>281898</xdr:colOff>
      <xdr:row>13</xdr:row>
      <xdr:rowOff>128326</xdr:rowOff>
    </xdr:to>
    <xdr:pic>
      <xdr:nvPicPr>
        <xdr:cNvPr id="19" name="Graphic 18" descr="Daily calendar with solid fill">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93352" y="2216207"/>
          <a:ext cx="298146" cy="289559"/>
        </a:xfrm>
        <a:prstGeom prst="rect">
          <a:avLst/>
        </a:prstGeom>
      </xdr:spPr>
    </xdr:pic>
    <xdr:clientData/>
  </xdr:twoCellAnchor>
  <xdr:twoCellAnchor editAs="oneCell">
    <xdr:from>
      <xdr:col>9</xdr:col>
      <xdr:colOff>404250</xdr:colOff>
      <xdr:row>2</xdr:row>
      <xdr:rowOff>76511</xdr:rowOff>
    </xdr:from>
    <xdr:to>
      <xdr:col>10</xdr:col>
      <xdr:colOff>71419</xdr:colOff>
      <xdr:row>3</xdr:row>
      <xdr:rowOff>160876</xdr:rowOff>
    </xdr:to>
    <xdr:pic>
      <xdr:nvPicPr>
        <xdr:cNvPr id="21" name="Graphic 20" descr="Clock with solid fill">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5890650" y="442271"/>
          <a:ext cx="276769" cy="267245"/>
        </a:xfrm>
        <a:prstGeom prst="rect">
          <a:avLst/>
        </a:prstGeom>
      </xdr:spPr>
    </xdr:pic>
    <xdr:clientData/>
  </xdr:twoCellAnchor>
  <xdr:twoCellAnchor editAs="oneCell">
    <xdr:from>
      <xdr:col>10</xdr:col>
      <xdr:colOff>389489</xdr:colOff>
      <xdr:row>12</xdr:row>
      <xdr:rowOff>32961</xdr:rowOff>
    </xdr:from>
    <xdr:to>
      <xdr:col>11</xdr:col>
      <xdr:colOff>80206</xdr:colOff>
      <xdr:row>13</xdr:row>
      <xdr:rowOff>152703</xdr:rowOff>
    </xdr:to>
    <xdr:pic>
      <xdr:nvPicPr>
        <xdr:cNvPr id="23" name="Graphic 22" descr="Signpost with solid fill">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6485489" y="2227521"/>
          <a:ext cx="300317" cy="302622"/>
        </a:xfrm>
        <a:prstGeom prst="rect">
          <a:avLst/>
        </a:prstGeom>
      </xdr:spPr>
    </xdr:pic>
    <xdr:clientData/>
  </xdr:twoCellAnchor>
  <xdr:twoCellAnchor editAs="oneCell">
    <xdr:from>
      <xdr:col>3</xdr:col>
      <xdr:colOff>144948</xdr:colOff>
      <xdr:row>2</xdr:row>
      <xdr:rowOff>61058</xdr:rowOff>
    </xdr:from>
    <xdr:to>
      <xdr:col>3</xdr:col>
      <xdr:colOff>456152</xdr:colOff>
      <xdr:row>4</xdr:row>
      <xdr:rowOff>6629</xdr:rowOff>
    </xdr:to>
    <xdr:pic>
      <xdr:nvPicPr>
        <xdr:cNvPr id="25" name="Graphic 24" descr="Map compass with solid fill">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973748" y="426818"/>
          <a:ext cx="311204" cy="311331"/>
        </a:xfrm>
        <a:prstGeom prst="rect">
          <a:avLst/>
        </a:prstGeom>
      </xdr:spPr>
    </xdr:pic>
    <xdr:clientData/>
  </xdr:twoCellAnchor>
  <xdr:twoCellAnchor>
    <xdr:from>
      <xdr:col>16</xdr:col>
      <xdr:colOff>434340</xdr:colOff>
      <xdr:row>4</xdr:row>
      <xdr:rowOff>73660</xdr:rowOff>
    </xdr:from>
    <xdr:to>
      <xdr:col>19</xdr:col>
      <xdr:colOff>307340</xdr:colOff>
      <xdr:row>11</xdr:row>
      <xdr:rowOff>124459</xdr:rowOff>
    </xdr:to>
    <xdr:graphicFrame macro="">
      <xdr:nvGraphicFramePr>
        <xdr:cNvPr id="26" name="Chart 1">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430555</xdr:colOff>
      <xdr:row>2</xdr:row>
      <xdr:rowOff>73288</xdr:rowOff>
    </xdr:from>
    <xdr:to>
      <xdr:col>18</xdr:col>
      <xdr:colOff>96121</xdr:colOff>
      <xdr:row>3</xdr:row>
      <xdr:rowOff>172996</xdr:rowOff>
    </xdr:to>
    <xdr:sp macro="" textlink="">
      <xdr:nvSpPr>
        <xdr:cNvPr id="28" name="Flowchart: Terminator 27">
          <a:extLst>
            <a:ext uri="{FF2B5EF4-FFF2-40B4-BE49-F238E27FC236}">
              <a16:creationId xmlns:a16="http://schemas.microsoft.com/office/drawing/2014/main" id="{00000000-0008-0000-0800-00001C000000}"/>
            </a:ext>
          </a:extLst>
        </xdr:cNvPr>
        <xdr:cNvSpPr/>
      </xdr:nvSpPr>
      <xdr:spPr>
        <a:xfrm>
          <a:off x="9574555" y="439048"/>
          <a:ext cx="1494366" cy="282588"/>
        </a:xfrm>
        <a:prstGeom prst="flowChartTerminator">
          <a:avLst/>
        </a:prstGeom>
        <a:solidFill>
          <a:schemeClr val="bg2">
            <a:lumMod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Number Late</a:t>
          </a:r>
          <a:r>
            <a:rPr lang="en-US" sz="1100" baseline="0"/>
            <a:t> fees</a:t>
          </a:r>
          <a:endParaRPr lang="en-US" sz="1100"/>
        </a:p>
      </xdr:txBody>
    </xdr:sp>
    <xdr:clientData/>
  </xdr:twoCellAnchor>
  <xdr:twoCellAnchor editAs="oneCell">
    <xdr:from>
      <xdr:col>15</xdr:col>
      <xdr:colOff>503768</xdr:colOff>
      <xdr:row>2</xdr:row>
      <xdr:rowOff>40095</xdr:rowOff>
    </xdr:from>
    <xdr:to>
      <xdr:col>16</xdr:col>
      <xdr:colOff>175260</xdr:colOff>
      <xdr:row>3</xdr:row>
      <xdr:rowOff>139491</xdr:rowOff>
    </xdr:to>
    <xdr:pic>
      <xdr:nvPicPr>
        <xdr:cNvPr id="38" name="Graphic 37" descr="Snooze with solid fill">
          <a:extLst>
            <a:ext uri="{FF2B5EF4-FFF2-40B4-BE49-F238E27FC236}">
              <a16:creationId xmlns:a16="http://schemas.microsoft.com/office/drawing/2014/main" id="{00000000-0008-0000-0800-000026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9647768" y="405855"/>
          <a:ext cx="281092" cy="2822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13</xdr:col>
      <xdr:colOff>228600</xdr:colOff>
      <xdr:row>13</xdr:row>
      <xdr:rowOff>83820</xdr:rowOff>
    </xdr:from>
    <xdr:to>
      <xdr:col>19</xdr:col>
      <xdr:colOff>502920</xdr:colOff>
      <xdr:row>23</xdr:row>
      <xdr:rowOff>38100</xdr:rowOff>
    </xdr:to>
    <xdr:sp macro="" textlink="">
      <xdr:nvSpPr>
        <xdr:cNvPr id="19" name="Rectangle 18">
          <a:extLst>
            <a:ext uri="{FF2B5EF4-FFF2-40B4-BE49-F238E27FC236}">
              <a16:creationId xmlns:a16="http://schemas.microsoft.com/office/drawing/2014/main" id="{00000000-0008-0000-0E00-000013000000}"/>
            </a:ext>
          </a:extLst>
        </xdr:cNvPr>
        <xdr:cNvSpPr/>
      </xdr:nvSpPr>
      <xdr:spPr>
        <a:xfrm>
          <a:off x="8153400" y="2461260"/>
          <a:ext cx="3931920" cy="17830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83820</xdr:colOff>
      <xdr:row>13</xdr:row>
      <xdr:rowOff>83820</xdr:rowOff>
    </xdr:from>
    <xdr:to>
      <xdr:col>6</xdr:col>
      <xdr:colOff>358140</xdr:colOff>
      <xdr:row>23</xdr:row>
      <xdr:rowOff>15240</xdr:rowOff>
    </xdr:to>
    <xdr:sp macro="" textlink="">
      <xdr:nvSpPr>
        <xdr:cNvPr id="18" name="Rectangle 17">
          <a:extLst>
            <a:ext uri="{FF2B5EF4-FFF2-40B4-BE49-F238E27FC236}">
              <a16:creationId xmlns:a16="http://schemas.microsoft.com/office/drawing/2014/main" id="{00000000-0008-0000-0E00-000012000000}"/>
            </a:ext>
          </a:extLst>
        </xdr:cNvPr>
        <xdr:cNvSpPr/>
      </xdr:nvSpPr>
      <xdr:spPr>
        <a:xfrm>
          <a:off x="83820" y="2461260"/>
          <a:ext cx="3931920" cy="1760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449580</xdr:colOff>
      <xdr:row>2</xdr:row>
      <xdr:rowOff>175260</xdr:rowOff>
    </xdr:from>
    <xdr:to>
      <xdr:col>19</xdr:col>
      <xdr:colOff>502920</xdr:colOff>
      <xdr:row>12</xdr:row>
      <xdr:rowOff>167640</xdr:rowOff>
    </xdr:to>
    <xdr:sp macro="" textlink="">
      <xdr:nvSpPr>
        <xdr:cNvPr id="17" name="Rectangle 16">
          <a:extLst>
            <a:ext uri="{FF2B5EF4-FFF2-40B4-BE49-F238E27FC236}">
              <a16:creationId xmlns:a16="http://schemas.microsoft.com/office/drawing/2014/main" id="{00000000-0008-0000-0E00-000011000000}"/>
            </a:ext>
          </a:extLst>
        </xdr:cNvPr>
        <xdr:cNvSpPr/>
      </xdr:nvSpPr>
      <xdr:spPr>
        <a:xfrm>
          <a:off x="2278380" y="541020"/>
          <a:ext cx="9806940" cy="18211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449580</xdr:colOff>
      <xdr:row>13</xdr:row>
      <xdr:rowOff>76200</xdr:rowOff>
    </xdr:from>
    <xdr:to>
      <xdr:col>13</xdr:col>
      <xdr:colOff>114300</xdr:colOff>
      <xdr:row>23</xdr:row>
      <xdr:rowOff>30480</xdr:rowOff>
    </xdr:to>
    <xdr:sp macro="" textlink="">
      <xdr:nvSpPr>
        <xdr:cNvPr id="16" name="Rectangle 15">
          <a:extLst>
            <a:ext uri="{FF2B5EF4-FFF2-40B4-BE49-F238E27FC236}">
              <a16:creationId xmlns:a16="http://schemas.microsoft.com/office/drawing/2014/main" id="{00000000-0008-0000-0E00-000010000000}"/>
            </a:ext>
          </a:extLst>
        </xdr:cNvPr>
        <xdr:cNvSpPr/>
      </xdr:nvSpPr>
      <xdr:spPr>
        <a:xfrm>
          <a:off x="4107180" y="2453640"/>
          <a:ext cx="3931920" cy="17830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60960</xdr:colOff>
      <xdr:row>0</xdr:row>
      <xdr:rowOff>83820</xdr:rowOff>
    </xdr:from>
    <xdr:to>
      <xdr:col>19</xdr:col>
      <xdr:colOff>502920</xdr:colOff>
      <xdr:row>2</xdr:row>
      <xdr:rowOff>129540</xdr:rowOff>
    </xdr:to>
    <xdr:sp macro="" textlink="">
      <xdr:nvSpPr>
        <xdr:cNvPr id="2" name="Rectangle 1">
          <a:extLst>
            <a:ext uri="{FF2B5EF4-FFF2-40B4-BE49-F238E27FC236}">
              <a16:creationId xmlns:a16="http://schemas.microsoft.com/office/drawing/2014/main" id="{00000000-0008-0000-0E00-000002000000}"/>
            </a:ext>
          </a:extLst>
        </xdr:cNvPr>
        <xdr:cNvSpPr/>
      </xdr:nvSpPr>
      <xdr:spPr>
        <a:xfrm>
          <a:off x="60960" y="83820"/>
          <a:ext cx="12024360" cy="41148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rgbClr val="FF0000"/>
              </a:solidFill>
              <a:latin typeface="Arial" panose="020B0604020202020204" pitchFamily="34" charset="0"/>
              <a:cs typeface="Arial" panose="020B0604020202020204" pitchFamily="34" charset="0"/>
            </a:rPr>
            <a:t>EXPENSE</a:t>
          </a:r>
          <a:r>
            <a:rPr lang="en-US" sz="2000">
              <a:latin typeface="Arial" panose="020B0604020202020204" pitchFamily="34" charset="0"/>
              <a:cs typeface="Arial" panose="020B0604020202020204" pitchFamily="34" charset="0"/>
            </a:rPr>
            <a:t> </a:t>
          </a:r>
          <a:r>
            <a:rPr lang="en-US" sz="2000">
              <a:solidFill>
                <a:srgbClr val="FF0000"/>
              </a:solidFill>
              <a:latin typeface="Arial" panose="020B0604020202020204" pitchFamily="34" charset="0"/>
              <a:cs typeface="Arial" panose="020B0604020202020204" pitchFamily="34" charset="0"/>
            </a:rPr>
            <a:t>DASHBOARD</a:t>
          </a:r>
        </a:p>
      </xdr:txBody>
    </xdr:sp>
    <xdr:clientData/>
  </xdr:twoCellAnchor>
  <xdr:twoCellAnchor>
    <xdr:from>
      <xdr:col>6</xdr:col>
      <xdr:colOff>464820</xdr:colOff>
      <xdr:row>13</xdr:row>
      <xdr:rowOff>91440</xdr:rowOff>
    </xdr:from>
    <xdr:to>
      <xdr:col>8</xdr:col>
      <xdr:colOff>167640</xdr:colOff>
      <xdr:row>15</xdr:row>
      <xdr:rowOff>45720</xdr:rowOff>
    </xdr:to>
    <xdr:sp macro="" textlink="">
      <xdr:nvSpPr>
        <xdr:cNvPr id="11" name="Flowchart: Terminator 10">
          <a:extLst>
            <a:ext uri="{FF2B5EF4-FFF2-40B4-BE49-F238E27FC236}">
              <a16:creationId xmlns:a16="http://schemas.microsoft.com/office/drawing/2014/main" id="{00000000-0008-0000-0E00-00000B000000}"/>
            </a:ext>
          </a:extLst>
        </xdr:cNvPr>
        <xdr:cNvSpPr/>
      </xdr:nvSpPr>
      <xdr:spPr>
        <a:xfrm>
          <a:off x="4122420" y="246888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solidFill>
                <a:schemeClr val="bg1"/>
              </a:solidFill>
            </a:rPr>
            <a:t>Month</a:t>
          </a:r>
        </a:p>
      </xdr:txBody>
    </xdr:sp>
    <xdr:clientData/>
  </xdr:twoCellAnchor>
  <xdr:twoCellAnchor>
    <xdr:from>
      <xdr:col>0</xdr:col>
      <xdr:colOff>91440</xdr:colOff>
      <xdr:row>13</xdr:row>
      <xdr:rowOff>91440</xdr:rowOff>
    </xdr:from>
    <xdr:to>
      <xdr:col>1</xdr:col>
      <xdr:colOff>403860</xdr:colOff>
      <xdr:row>15</xdr:row>
      <xdr:rowOff>45720</xdr:rowOff>
    </xdr:to>
    <xdr:sp macro="" textlink="">
      <xdr:nvSpPr>
        <xdr:cNvPr id="13" name="Flowchart: Terminator 12">
          <a:extLst>
            <a:ext uri="{FF2B5EF4-FFF2-40B4-BE49-F238E27FC236}">
              <a16:creationId xmlns:a16="http://schemas.microsoft.com/office/drawing/2014/main" id="{00000000-0008-0000-0E00-00000D000000}"/>
            </a:ext>
          </a:extLst>
        </xdr:cNvPr>
        <xdr:cNvSpPr/>
      </xdr:nvSpPr>
      <xdr:spPr>
        <a:xfrm>
          <a:off x="91440" y="246888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Zipcode</a:t>
          </a:r>
        </a:p>
      </xdr:txBody>
    </xdr:sp>
    <xdr:clientData/>
  </xdr:twoCellAnchor>
  <xdr:twoCellAnchor>
    <xdr:from>
      <xdr:col>13</xdr:col>
      <xdr:colOff>274320</xdr:colOff>
      <xdr:row>13</xdr:row>
      <xdr:rowOff>121920</xdr:rowOff>
    </xdr:from>
    <xdr:to>
      <xdr:col>14</xdr:col>
      <xdr:colOff>586740</xdr:colOff>
      <xdr:row>15</xdr:row>
      <xdr:rowOff>76200</xdr:rowOff>
    </xdr:to>
    <xdr:sp macro="" textlink="">
      <xdr:nvSpPr>
        <xdr:cNvPr id="14" name="Flowchart: Terminator 13">
          <a:extLst>
            <a:ext uri="{FF2B5EF4-FFF2-40B4-BE49-F238E27FC236}">
              <a16:creationId xmlns:a16="http://schemas.microsoft.com/office/drawing/2014/main" id="{00000000-0008-0000-0E00-00000E000000}"/>
            </a:ext>
          </a:extLst>
        </xdr:cNvPr>
        <xdr:cNvSpPr/>
      </xdr:nvSpPr>
      <xdr:spPr>
        <a:xfrm>
          <a:off x="8199120" y="249936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Street</a:t>
          </a:r>
        </a:p>
      </xdr:txBody>
    </xdr:sp>
    <xdr:clientData/>
  </xdr:twoCellAnchor>
  <xdr:twoCellAnchor>
    <xdr:from>
      <xdr:col>3</xdr:col>
      <xdr:colOff>518160</xdr:colOff>
      <xdr:row>3</xdr:row>
      <xdr:rowOff>45720</xdr:rowOff>
    </xdr:from>
    <xdr:to>
      <xdr:col>5</xdr:col>
      <xdr:colOff>220980</xdr:colOff>
      <xdr:row>5</xdr:row>
      <xdr:rowOff>0</xdr:rowOff>
    </xdr:to>
    <xdr:sp macro="" textlink="">
      <xdr:nvSpPr>
        <xdr:cNvPr id="15" name="Flowchart: Terminator 14">
          <a:extLst>
            <a:ext uri="{FF2B5EF4-FFF2-40B4-BE49-F238E27FC236}">
              <a16:creationId xmlns:a16="http://schemas.microsoft.com/office/drawing/2014/main" id="{00000000-0008-0000-0E00-00000F000000}"/>
            </a:ext>
          </a:extLst>
        </xdr:cNvPr>
        <xdr:cNvSpPr/>
      </xdr:nvSpPr>
      <xdr:spPr>
        <a:xfrm>
          <a:off x="2346960" y="594360"/>
          <a:ext cx="922020" cy="320040"/>
        </a:xfrm>
        <a:prstGeom prst="flowChartTerminator">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n-US" sz="1100"/>
            <a:t>Type</a:t>
          </a:r>
        </a:p>
      </xdr:txBody>
    </xdr:sp>
    <xdr:clientData/>
  </xdr:twoCellAnchor>
  <xdr:twoCellAnchor>
    <xdr:from>
      <xdr:col>0</xdr:col>
      <xdr:colOff>22860</xdr:colOff>
      <xdr:row>15</xdr:row>
      <xdr:rowOff>53340</xdr:rowOff>
    </xdr:from>
    <xdr:to>
      <xdr:col>6</xdr:col>
      <xdr:colOff>365760</xdr:colOff>
      <xdr:row>22</xdr:row>
      <xdr:rowOff>121920</xdr:rowOff>
    </xdr:to>
    <xdr:graphicFrame macro="">
      <xdr:nvGraphicFramePr>
        <xdr:cNvPr id="20" name="Chart 1">
          <a:extLst>
            <a:ext uri="{FF2B5EF4-FFF2-40B4-BE49-F238E27FC236}">
              <a16:creationId xmlns:a16="http://schemas.microsoft.com/office/drawing/2014/main" id="{00000000-0008-0000-0E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205740</xdr:colOff>
      <xdr:row>15</xdr:row>
      <xdr:rowOff>49530</xdr:rowOff>
    </xdr:from>
    <xdr:to>
      <xdr:col>19</xdr:col>
      <xdr:colOff>510540</xdr:colOff>
      <xdr:row>23</xdr:row>
      <xdr:rowOff>99060</xdr:rowOff>
    </xdr:to>
    <xdr:graphicFrame macro="">
      <xdr:nvGraphicFramePr>
        <xdr:cNvPr id="21" name="Chart 1">
          <a:extLst>
            <a:ext uri="{FF2B5EF4-FFF2-40B4-BE49-F238E27FC236}">
              <a16:creationId xmlns:a16="http://schemas.microsoft.com/office/drawing/2014/main" id="{00000000-0008-0000-0E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510540</xdr:colOff>
      <xdr:row>4</xdr:row>
      <xdr:rowOff>137160</xdr:rowOff>
    </xdr:from>
    <xdr:to>
      <xdr:col>16</xdr:col>
      <xdr:colOff>22860</xdr:colOff>
      <xdr:row>13</xdr:row>
      <xdr:rowOff>38100</xdr:rowOff>
    </xdr:to>
    <xdr:graphicFrame macro="">
      <xdr:nvGraphicFramePr>
        <xdr:cNvPr id="22" name="Chart 1">
          <a:extLst>
            <a:ext uri="{FF2B5EF4-FFF2-40B4-BE49-F238E27FC236}">
              <a16:creationId xmlns:a16="http://schemas.microsoft.com/office/drawing/2014/main" id="{00000000-0008-0000-0E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160020</xdr:colOff>
      <xdr:row>3</xdr:row>
      <xdr:rowOff>137160</xdr:rowOff>
    </xdr:from>
    <xdr:to>
      <xdr:col>18</xdr:col>
      <xdr:colOff>289560</xdr:colOff>
      <xdr:row>9</xdr:row>
      <xdr:rowOff>167640</xdr:rowOff>
    </xdr:to>
    <xdr:sp macro="" textlink="">
      <xdr:nvSpPr>
        <xdr:cNvPr id="23" name="Lightning Bolt 22">
          <a:extLst>
            <a:ext uri="{FF2B5EF4-FFF2-40B4-BE49-F238E27FC236}">
              <a16:creationId xmlns:a16="http://schemas.microsoft.com/office/drawing/2014/main" id="{00000000-0008-0000-0E00-000017000000}"/>
            </a:ext>
          </a:extLst>
        </xdr:cNvPr>
        <xdr:cNvSpPr/>
      </xdr:nvSpPr>
      <xdr:spPr>
        <a:xfrm>
          <a:off x="9913620" y="685800"/>
          <a:ext cx="1348740" cy="1127760"/>
        </a:xfrm>
        <a:prstGeom prst="lightningBol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18</xdr:col>
      <xdr:colOff>106680</xdr:colOff>
      <xdr:row>7</xdr:row>
      <xdr:rowOff>160020</xdr:rowOff>
    </xdr:from>
    <xdr:to>
      <xdr:col>19</xdr:col>
      <xdr:colOff>411480</xdr:colOff>
      <xdr:row>12</xdr:row>
      <xdr:rowOff>160020</xdr:rowOff>
    </xdr:to>
    <xdr:pic>
      <xdr:nvPicPr>
        <xdr:cNvPr id="25" name="Graphic 24" descr="Money outline">
          <a:extLst>
            <a:ext uri="{FF2B5EF4-FFF2-40B4-BE49-F238E27FC236}">
              <a16:creationId xmlns:a16="http://schemas.microsoft.com/office/drawing/2014/main" id="{00000000-0008-0000-0E00-00001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1079480" y="1440180"/>
          <a:ext cx="914400" cy="914400"/>
        </a:xfrm>
        <a:prstGeom prst="rect">
          <a:avLst/>
        </a:prstGeom>
      </xdr:spPr>
    </xdr:pic>
    <xdr:clientData/>
  </xdr:twoCellAnchor>
  <xdr:twoCellAnchor>
    <xdr:from>
      <xdr:col>6</xdr:col>
      <xdr:colOff>441960</xdr:colOff>
      <xdr:row>15</xdr:row>
      <xdr:rowOff>26670</xdr:rowOff>
    </xdr:from>
    <xdr:to>
      <xdr:col>13</xdr:col>
      <xdr:colOff>45720</xdr:colOff>
      <xdr:row>23</xdr:row>
      <xdr:rowOff>0</xdr:rowOff>
    </xdr:to>
    <xdr:graphicFrame macro="">
      <xdr:nvGraphicFramePr>
        <xdr:cNvPr id="26" name="Chart 1">
          <a:extLst>
            <a:ext uri="{FF2B5EF4-FFF2-40B4-BE49-F238E27FC236}">
              <a16:creationId xmlns:a16="http://schemas.microsoft.com/office/drawing/2014/main" id="{00000000-0008-0000-0E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6</xdr:col>
      <xdr:colOff>502920</xdr:colOff>
      <xdr:row>13</xdr:row>
      <xdr:rowOff>45720</xdr:rowOff>
    </xdr:from>
    <xdr:to>
      <xdr:col>7</xdr:col>
      <xdr:colOff>274320</xdr:colOff>
      <xdr:row>15</xdr:row>
      <xdr:rowOff>60960</xdr:rowOff>
    </xdr:to>
    <xdr:pic>
      <xdr:nvPicPr>
        <xdr:cNvPr id="28" name="Graphic 27" descr="Daily calendar with solid fill">
          <a:extLst>
            <a:ext uri="{FF2B5EF4-FFF2-40B4-BE49-F238E27FC236}">
              <a16:creationId xmlns:a16="http://schemas.microsoft.com/office/drawing/2014/main" id="{00000000-0008-0000-0E00-00001C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160520" y="2423160"/>
          <a:ext cx="381000" cy="381000"/>
        </a:xfrm>
        <a:prstGeom prst="rect">
          <a:avLst/>
        </a:prstGeom>
      </xdr:spPr>
    </xdr:pic>
    <xdr:clientData/>
  </xdr:twoCellAnchor>
  <xdr:twoCellAnchor editAs="oneCell">
    <xdr:from>
      <xdr:col>13</xdr:col>
      <xdr:colOff>335280</xdr:colOff>
      <xdr:row>13</xdr:row>
      <xdr:rowOff>91440</xdr:rowOff>
    </xdr:from>
    <xdr:to>
      <xdr:col>14</xdr:col>
      <xdr:colOff>99060</xdr:colOff>
      <xdr:row>15</xdr:row>
      <xdr:rowOff>99060</xdr:rowOff>
    </xdr:to>
    <xdr:pic>
      <xdr:nvPicPr>
        <xdr:cNvPr id="30" name="Graphic 29" descr="Signpost outline">
          <a:extLst>
            <a:ext uri="{FF2B5EF4-FFF2-40B4-BE49-F238E27FC236}">
              <a16:creationId xmlns:a16="http://schemas.microsoft.com/office/drawing/2014/main" id="{00000000-0008-0000-0E00-00001E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260080" y="2468880"/>
          <a:ext cx="373380" cy="373380"/>
        </a:xfrm>
        <a:prstGeom prst="rect">
          <a:avLst/>
        </a:prstGeom>
      </xdr:spPr>
    </xdr:pic>
    <xdr:clientData/>
  </xdr:twoCellAnchor>
  <xdr:twoCellAnchor editAs="oneCell">
    <xdr:from>
      <xdr:col>0</xdr:col>
      <xdr:colOff>160020</xdr:colOff>
      <xdr:row>13</xdr:row>
      <xdr:rowOff>106680</xdr:rowOff>
    </xdr:from>
    <xdr:to>
      <xdr:col>0</xdr:col>
      <xdr:colOff>426720</xdr:colOff>
      <xdr:row>15</xdr:row>
      <xdr:rowOff>7620</xdr:rowOff>
    </xdr:to>
    <xdr:pic>
      <xdr:nvPicPr>
        <xdr:cNvPr id="32" name="Graphic 31" descr="Globe with solid fill">
          <a:extLst>
            <a:ext uri="{FF2B5EF4-FFF2-40B4-BE49-F238E27FC236}">
              <a16:creationId xmlns:a16="http://schemas.microsoft.com/office/drawing/2014/main" id="{00000000-0008-0000-0E00-000020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60020" y="2484120"/>
          <a:ext cx="266700" cy="266700"/>
        </a:xfrm>
        <a:prstGeom prst="rect">
          <a:avLst/>
        </a:prstGeom>
      </xdr:spPr>
    </xdr:pic>
    <xdr:clientData/>
  </xdr:twoCellAnchor>
  <xdr:twoCellAnchor editAs="oneCell">
    <xdr:from>
      <xdr:col>4</xdr:col>
      <xdr:colOff>45720</xdr:colOff>
      <xdr:row>3</xdr:row>
      <xdr:rowOff>38100</xdr:rowOff>
    </xdr:from>
    <xdr:to>
      <xdr:col>4</xdr:col>
      <xdr:colOff>350520</xdr:colOff>
      <xdr:row>4</xdr:row>
      <xdr:rowOff>160020</xdr:rowOff>
    </xdr:to>
    <xdr:pic>
      <xdr:nvPicPr>
        <xdr:cNvPr id="36" name="Graphic 35" descr="Hammer with solid fill">
          <a:extLst>
            <a:ext uri="{FF2B5EF4-FFF2-40B4-BE49-F238E27FC236}">
              <a16:creationId xmlns:a16="http://schemas.microsoft.com/office/drawing/2014/main" id="{00000000-0008-0000-0E00-000024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484120" y="586740"/>
          <a:ext cx="304800" cy="304800"/>
        </a:xfrm>
        <a:prstGeom prst="rect">
          <a:avLst/>
        </a:prstGeom>
      </xdr:spPr>
    </xdr:pic>
    <xdr:clientData/>
  </xdr:twoCellAnchor>
  <xdr:twoCellAnchor editAs="oneCell">
    <xdr:from>
      <xdr:col>0</xdr:col>
      <xdr:colOff>75247</xdr:colOff>
      <xdr:row>3</xdr:row>
      <xdr:rowOff>7302</xdr:rowOff>
    </xdr:from>
    <xdr:to>
      <xdr:col>3</xdr:col>
      <xdr:colOff>341312</xdr:colOff>
      <xdr:row>12</xdr:row>
      <xdr:rowOff>166688</xdr:rowOff>
    </xdr:to>
    <mc:AlternateContent xmlns:mc="http://schemas.openxmlformats.org/markup-compatibility/2006" xmlns:a14="http://schemas.microsoft.com/office/drawing/2010/main">
      <mc:Choice Requires="a14">
        <xdr:graphicFrame macro="">
          <xdr:nvGraphicFramePr>
            <xdr:cNvPr id="37" name="Year 1">
              <a:extLst>
                <a:ext uri="{FF2B5EF4-FFF2-40B4-BE49-F238E27FC236}">
                  <a16:creationId xmlns:a16="http://schemas.microsoft.com/office/drawing/2014/main" id="{00000000-0008-0000-0E00-000025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5247" y="555942"/>
              <a:ext cx="2094865" cy="180530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ndi" refreshedDate="44605.43809398148" createdVersion="7" refreshedVersion="7" minRefreshableVersion="3" recordCount="36" xr:uid="{74EDEDC8-B8F7-45B4-8BCD-16DB3FCCC957}">
  <cacheSource type="worksheet">
    <worksheetSource name="Data_Table"/>
  </cacheSource>
  <cacheFields count="10">
    <cacheField name="Year" numFmtId="1">
      <sharedItems containsSemiMixedTypes="0" containsString="0" containsNumber="1" containsInteger="1" minValue="2021" maxValue="2022" count="2">
        <n v="2021"/>
        <n v="2022" u="1"/>
      </sharedItems>
    </cacheField>
    <cacheField name="Month" numFmtId="49">
      <sharedItems containsBlank="1" count="13">
        <s v="January"/>
        <s v="February"/>
        <s v="March"/>
        <s v="April"/>
        <s v="May"/>
        <s v="June"/>
        <s v="July"/>
        <s v="August"/>
        <s v="September"/>
        <s v="October"/>
        <s v="November"/>
        <s v="December"/>
        <m u="1"/>
      </sharedItems>
    </cacheField>
    <cacheField name="Address" numFmtId="0">
      <sharedItems containsBlank="1" count="16">
        <s v="8888 Atkinson Drive Apt. 1"/>
        <s v="8888 Atkinson Drive Apt. 2"/>
        <s v="9999 Crawford Trace"/>
        <m u="1"/>
        <s v="8888 Atkinson Drive Apt. 3" u="1"/>
        <s v="8897 Atkinson Drive Apt. 1" u="1"/>
        <s v="8896 Atkinson Drive Apt. 1" u="1"/>
        <s v="8895 Atkinson Drive Apt. 1" u="1"/>
        <s v="8894 Atkinson Drive Apt. 1" u="1"/>
        <s v="8893 Atkinson Drive Apt. 1" u="1"/>
        <s v="8892 Atkinson Drive Apt. 1" u="1"/>
        <s v="8891 Atkinson Drive Apt. 1" u="1"/>
        <s v="1111 Rex Drive" u="1"/>
        <s v="8890 Atkinson Drive Apt. 1" u="1"/>
        <s v="8889 Atkinson Drive Apt. 1" u="1"/>
        <s v="8898 Atkinson Drive Apt. 1" u="1"/>
      </sharedItems>
    </cacheField>
    <cacheField name="City" numFmtId="0">
      <sharedItems/>
    </cacheField>
    <cacheField name="Zip code" numFmtId="0">
      <sharedItems containsSemiMixedTypes="0" containsString="0" containsNumber="1" containsInteger="1" minValue="32304" maxValue="99999" count="6">
        <n v="32304"/>
        <n v="32310"/>
        <n v="32305" u="1"/>
        <n v="32355" u="1"/>
        <n v="99999" u="1"/>
        <n v="55555" u="1"/>
      </sharedItems>
    </cacheField>
    <cacheField name="State" numFmtId="0">
      <sharedItems/>
    </cacheField>
    <cacheField name="Amount" numFmtId="164">
      <sharedItems containsSemiMixedTypes="0" containsString="0" containsNumber="1" containsInteger="1" minValue="0" maxValue="1500"/>
    </cacheField>
    <cacheField name="Late" numFmtId="14">
      <sharedItems containsBlank="1" count="3">
        <s v="No"/>
        <s v="Yes"/>
        <m u="1"/>
      </sharedItems>
    </cacheField>
    <cacheField name="Late fees" numFmtId="0">
      <sharedItems containsSemiMixedTypes="0" containsString="0" containsNumber="1" containsInteger="1" minValue="0" maxValue="80"/>
    </cacheField>
    <cacheField name="ID" numFmtId="0">
      <sharedItems containsSemiMixedTypes="0" containsString="0" containsNumber="1" containsInteger="1" minValue="1" maxValue="36"/>
    </cacheField>
  </cacheFields>
  <extLst>
    <ext xmlns:x14="http://schemas.microsoft.com/office/spreadsheetml/2009/9/main" uri="{725AE2AE-9491-48be-B2B4-4EB974FC3084}">
      <x14:pivotCacheDefinition pivotCacheId="152722779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ndi" refreshedDate="44605.438095138888" createdVersion="7" refreshedVersion="7" minRefreshableVersion="3" recordCount="2" xr:uid="{B13442B2-6EC1-4181-9A10-C535AFFC2015}">
  <cacheSource type="worksheet">
    <worksheetSource name="Expense_Table"/>
  </cacheSource>
  <cacheFields count="10">
    <cacheField name="Year" numFmtId="0">
      <sharedItems containsSemiMixedTypes="0" containsString="0" containsNumber="1" containsInteger="1" minValue="2017" maxValue="2021" count="2">
        <n v="2017"/>
        <n v="2021"/>
      </sharedItems>
    </cacheField>
    <cacheField name="Month" numFmtId="0">
      <sharedItems containsBlank="1" count="4">
        <s v="March"/>
        <s v="August"/>
        <m u="1"/>
        <s v="February" u="1"/>
      </sharedItems>
    </cacheField>
    <cacheField name="Address" numFmtId="0">
      <sharedItems containsBlank="1" count="4">
        <s v="8888 Atkinson Drive Apt. 3"/>
        <m u="1"/>
        <s v="1111 Rex Drive" u="1"/>
        <s v="8888 Atkinson Drive Apt. 2" u="1"/>
      </sharedItems>
    </cacheField>
    <cacheField name="City" numFmtId="0">
      <sharedItems/>
    </cacheField>
    <cacheField name="Zip Code" numFmtId="0">
      <sharedItems containsSemiMixedTypes="0" containsString="0" containsNumber="1" containsInteger="1" minValue="32304" maxValue="32305" count="2">
        <n v="32304"/>
        <n v="32305" u="1"/>
      </sharedItems>
    </cacheField>
    <cacheField name="State" numFmtId="0">
      <sharedItems/>
    </cacheField>
    <cacheField name="Type of Expenses" numFmtId="0">
      <sharedItems containsBlank="1" count="5">
        <s v="Fix toilet"/>
        <s v="Cut tree"/>
        <m u="1"/>
        <s v="new stove" u="1"/>
        <s v="fix sink pipe" u="1"/>
      </sharedItems>
    </cacheField>
    <cacheField name="Amount" numFmtId="0">
      <sharedItems containsSemiMixedTypes="0" containsString="0" containsNumber="1" containsInteger="1" minValue="1000" maxValue="2000"/>
    </cacheField>
    <cacheField name="Receipt/ invoice number" numFmtId="0">
      <sharedItems containsSemiMixedTypes="0" containsString="0" containsNumber="1" containsInteger="1" minValue="333" maxValue="366"/>
    </cacheField>
    <cacheField name="Record ID" numFmtId="0">
      <sharedItems containsSemiMixedTypes="0" containsString="0" containsNumber="1" containsInteger="1" minValue="1" maxValue="2"/>
    </cacheField>
  </cacheFields>
  <extLst>
    <ext xmlns:x14="http://schemas.microsoft.com/office/spreadsheetml/2009/9/main" uri="{725AE2AE-9491-48be-B2B4-4EB974FC3084}">
      <x14:pivotCacheDefinition pivotCacheId="13652605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
  <r>
    <x v="0"/>
    <x v="0"/>
    <x v="0"/>
    <s v="Tallahassee"/>
    <x v="0"/>
    <s v="Florida"/>
    <n v="1000"/>
    <x v="0"/>
    <n v="0"/>
    <n v="1"/>
  </r>
  <r>
    <x v="0"/>
    <x v="1"/>
    <x v="0"/>
    <s v="Tallahassee"/>
    <x v="0"/>
    <s v="Florida"/>
    <n v="1000"/>
    <x v="0"/>
    <n v="0"/>
    <n v="2"/>
  </r>
  <r>
    <x v="0"/>
    <x v="2"/>
    <x v="0"/>
    <s v="Tallahassee"/>
    <x v="0"/>
    <s v="Florida"/>
    <n v="1000"/>
    <x v="0"/>
    <n v="0"/>
    <n v="3"/>
  </r>
  <r>
    <x v="0"/>
    <x v="3"/>
    <x v="0"/>
    <s v="Tallahassee"/>
    <x v="0"/>
    <s v="Florida"/>
    <n v="1000"/>
    <x v="0"/>
    <n v="0"/>
    <n v="4"/>
  </r>
  <r>
    <x v="0"/>
    <x v="4"/>
    <x v="0"/>
    <s v="Tallahassee"/>
    <x v="0"/>
    <s v="Florida"/>
    <n v="1000"/>
    <x v="0"/>
    <n v="0"/>
    <n v="5"/>
  </r>
  <r>
    <x v="0"/>
    <x v="5"/>
    <x v="0"/>
    <s v="Tallahassee"/>
    <x v="0"/>
    <s v="Florida"/>
    <n v="900"/>
    <x v="0"/>
    <n v="0"/>
    <n v="6"/>
  </r>
  <r>
    <x v="0"/>
    <x v="6"/>
    <x v="0"/>
    <s v="Tallahassee"/>
    <x v="0"/>
    <s v="Florida"/>
    <n v="900"/>
    <x v="0"/>
    <n v="0"/>
    <n v="7"/>
  </r>
  <r>
    <x v="0"/>
    <x v="7"/>
    <x v="0"/>
    <s v="Tallahassee"/>
    <x v="0"/>
    <s v="Florida"/>
    <n v="1000"/>
    <x v="0"/>
    <n v="0"/>
    <n v="8"/>
  </r>
  <r>
    <x v="0"/>
    <x v="8"/>
    <x v="0"/>
    <s v="Tallahassee"/>
    <x v="0"/>
    <s v="Florida"/>
    <n v="1500"/>
    <x v="0"/>
    <n v="0"/>
    <n v="9"/>
  </r>
  <r>
    <x v="0"/>
    <x v="9"/>
    <x v="0"/>
    <s v="Tallahassee"/>
    <x v="0"/>
    <s v="Florida"/>
    <n v="1000"/>
    <x v="1"/>
    <n v="40"/>
    <n v="10"/>
  </r>
  <r>
    <x v="0"/>
    <x v="10"/>
    <x v="0"/>
    <s v="Tallahassee"/>
    <x v="0"/>
    <s v="Florida"/>
    <n v="1500"/>
    <x v="0"/>
    <n v="0"/>
    <n v="11"/>
  </r>
  <r>
    <x v="0"/>
    <x v="11"/>
    <x v="0"/>
    <s v="Tallahassee"/>
    <x v="0"/>
    <s v="Florida"/>
    <n v="1500"/>
    <x v="0"/>
    <n v="0"/>
    <n v="12"/>
  </r>
  <r>
    <x v="0"/>
    <x v="0"/>
    <x v="1"/>
    <s v="Tallahassee"/>
    <x v="0"/>
    <s v="Florida"/>
    <n v="600"/>
    <x v="0"/>
    <n v="0"/>
    <n v="13"/>
  </r>
  <r>
    <x v="0"/>
    <x v="1"/>
    <x v="1"/>
    <s v="Tallahassee"/>
    <x v="0"/>
    <s v="Florida"/>
    <n v="600"/>
    <x v="0"/>
    <n v="0"/>
    <n v="14"/>
  </r>
  <r>
    <x v="0"/>
    <x v="2"/>
    <x v="1"/>
    <s v="Tallahassee"/>
    <x v="0"/>
    <s v="Florida"/>
    <n v="600"/>
    <x v="0"/>
    <n v="0"/>
    <n v="15"/>
  </r>
  <r>
    <x v="0"/>
    <x v="3"/>
    <x v="1"/>
    <s v="Tallahassee"/>
    <x v="0"/>
    <s v="Florida"/>
    <n v="600"/>
    <x v="0"/>
    <n v="0"/>
    <n v="16"/>
  </r>
  <r>
    <x v="0"/>
    <x v="4"/>
    <x v="1"/>
    <s v="Tallahassee"/>
    <x v="0"/>
    <s v="Florida"/>
    <n v="600"/>
    <x v="0"/>
    <n v="0"/>
    <n v="17"/>
  </r>
  <r>
    <x v="0"/>
    <x v="5"/>
    <x v="1"/>
    <s v="Tallahassee"/>
    <x v="0"/>
    <s v="Florida"/>
    <n v="600"/>
    <x v="0"/>
    <n v="0"/>
    <n v="18"/>
  </r>
  <r>
    <x v="0"/>
    <x v="6"/>
    <x v="1"/>
    <s v="Tallahassee"/>
    <x v="0"/>
    <s v="Florida"/>
    <n v="600"/>
    <x v="1"/>
    <n v="80"/>
    <n v="19"/>
  </r>
  <r>
    <x v="0"/>
    <x v="7"/>
    <x v="1"/>
    <s v="Tallahassee"/>
    <x v="0"/>
    <s v="Florida"/>
    <n v="600"/>
    <x v="0"/>
    <n v="0"/>
    <n v="20"/>
  </r>
  <r>
    <x v="0"/>
    <x v="8"/>
    <x v="1"/>
    <s v="Tallahassee"/>
    <x v="0"/>
    <s v="Florida"/>
    <n v="600"/>
    <x v="0"/>
    <n v="0"/>
    <n v="21"/>
  </r>
  <r>
    <x v="0"/>
    <x v="9"/>
    <x v="1"/>
    <s v="Tallahassee"/>
    <x v="0"/>
    <s v="Florida"/>
    <n v="600"/>
    <x v="0"/>
    <n v="0"/>
    <n v="22"/>
  </r>
  <r>
    <x v="0"/>
    <x v="10"/>
    <x v="1"/>
    <s v="Tallahassee"/>
    <x v="0"/>
    <s v="Florida"/>
    <n v="600"/>
    <x v="0"/>
    <n v="0"/>
    <n v="23"/>
  </r>
  <r>
    <x v="0"/>
    <x v="11"/>
    <x v="1"/>
    <s v="Tallahassee"/>
    <x v="0"/>
    <s v="Florida"/>
    <n v="600"/>
    <x v="0"/>
    <n v="0"/>
    <n v="24"/>
  </r>
  <r>
    <x v="0"/>
    <x v="0"/>
    <x v="2"/>
    <s v="Tallahassee"/>
    <x v="1"/>
    <s v="Florida"/>
    <n v="1100"/>
    <x v="0"/>
    <n v="0"/>
    <n v="25"/>
  </r>
  <r>
    <x v="0"/>
    <x v="1"/>
    <x v="2"/>
    <s v="Tallahassee"/>
    <x v="1"/>
    <s v="Florida"/>
    <n v="1100"/>
    <x v="0"/>
    <n v="0"/>
    <n v="26"/>
  </r>
  <r>
    <x v="0"/>
    <x v="2"/>
    <x v="2"/>
    <s v="Tallahassee"/>
    <x v="1"/>
    <s v="Florida"/>
    <n v="1100"/>
    <x v="0"/>
    <n v="0"/>
    <n v="27"/>
  </r>
  <r>
    <x v="0"/>
    <x v="3"/>
    <x v="2"/>
    <s v="Tallahassee"/>
    <x v="1"/>
    <s v="Florida"/>
    <n v="1100"/>
    <x v="0"/>
    <n v="0"/>
    <n v="28"/>
  </r>
  <r>
    <x v="0"/>
    <x v="4"/>
    <x v="2"/>
    <s v="Tallahassee"/>
    <x v="1"/>
    <s v="Florida"/>
    <n v="1100"/>
    <x v="0"/>
    <n v="0"/>
    <n v="29"/>
  </r>
  <r>
    <x v="0"/>
    <x v="5"/>
    <x v="2"/>
    <s v="Tallahassee"/>
    <x v="1"/>
    <s v="Florida"/>
    <n v="1100"/>
    <x v="0"/>
    <n v="0"/>
    <n v="30"/>
  </r>
  <r>
    <x v="0"/>
    <x v="6"/>
    <x v="2"/>
    <s v="Tallahassee"/>
    <x v="1"/>
    <s v="Florida"/>
    <n v="0"/>
    <x v="0"/>
    <n v="0"/>
    <n v="31"/>
  </r>
  <r>
    <x v="0"/>
    <x v="7"/>
    <x v="2"/>
    <s v="Tallahassee"/>
    <x v="1"/>
    <s v="Florida"/>
    <n v="0"/>
    <x v="0"/>
    <n v="0"/>
    <n v="32"/>
  </r>
  <r>
    <x v="0"/>
    <x v="8"/>
    <x v="2"/>
    <s v="Tallahassee"/>
    <x v="1"/>
    <s v="Florida"/>
    <n v="1100"/>
    <x v="0"/>
    <n v="0"/>
    <n v="33"/>
  </r>
  <r>
    <x v="0"/>
    <x v="9"/>
    <x v="2"/>
    <s v="Tallahassee"/>
    <x v="1"/>
    <s v="Florida"/>
    <n v="1100"/>
    <x v="0"/>
    <n v="0"/>
    <n v="34"/>
  </r>
  <r>
    <x v="0"/>
    <x v="10"/>
    <x v="2"/>
    <s v="Tallahassee"/>
    <x v="1"/>
    <s v="Florida"/>
    <n v="1100"/>
    <x v="0"/>
    <n v="0"/>
    <n v="35"/>
  </r>
  <r>
    <x v="0"/>
    <x v="11"/>
    <x v="2"/>
    <s v="Tallahassee"/>
    <x v="1"/>
    <s v="Florida"/>
    <n v="1100"/>
    <x v="0"/>
    <n v="0"/>
    <n v="3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x v="0"/>
    <x v="0"/>
    <s v="Tallahassee"/>
    <x v="0"/>
    <s v="Florida"/>
    <x v="0"/>
    <n v="1000"/>
    <n v="333"/>
    <n v="1"/>
  </r>
  <r>
    <x v="1"/>
    <x v="1"/>
    <x v="0"/>
    <s v="Tallahassee"/>
    <x v="0"/>
    <s v="Florida"/>
    <x v="1"/>
    <n v="2000"/>
    <n v="366"/>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793CD5-26C4-45C9-94E8-BAC65239007F}" name="PivotTable1" cacheId="487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3">
  <location ref="A1:B3" firstHeaderRow="1" firstDataRow="1" firstDataCol="1"/>
  <pivotFields count="10">
    <pivotField axis="axisRow" showAll="0">
      <items count="3">
        <item x="0"/>
        <item m="1" x="1"/>
        <item t="default"/>
      </items>
    </pivotField>
    <pivotField showAll="0"/>
    <pivotField showAll="0"/>
    <pivotField showAll="0"/>
    <pivotField showAll="0"/>
    <pivotField showAll="0"/>
    <pivotField dataField="1" numFmtId="164" showAll="0"/>
    <pivotField showAll="0"/>
    <pivotField showAll="0"/>
    <pivotField showAll="0"/>
  </pivotFields>
  <rowFields count="1">
    <field x="0"/>
  </rowFields>
  <rowItems count="2">
    <i>
      <x/>
    </i>
    <i t="grand">
      <x/>
    </i>
  </rowItems>
  <colItems count="1">
    <i/>
  </colItems>
  <dataFields count="1">
    <dataField name="Sum of Amount" fld="6" baseField="0" baseItem="0"/>
  </dataFields>
  <formats count="1">
    <format dxfId="3">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49A74B2-98F2-4440-9D94-3B02755C35FA}" name="PivotTable2" cacheId="487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14" firstHeaderRow="1" firstDataRow="1" firstDataCol="1"/>
  <pivotFields count="10">
    <pivotField showAll="0">
      <items count="3">
        <item x="0"/>
        <item m="1" x="1"/>
        <item t="default"/>
      </items>
    </pivotField>
    <pivotField axis="axisRow" showAll="0">
      <items count="14">
        <item x="0"/>
        <item x="1"/>
        <item x="2"/>
        <item x="5"/>
        <item m="1" x="12"/>
        <item x="4"/>
        <item x="3"/>
        <item x="6"/>
        <item x="7"/>
        <item x="8"/>
        <item x="9"/>
        <item x="10"/>
        <item x="11"/>
        <item t="default"/>
      </items>
    </pivotField>
    <pivotField showAll="0"/>
    <pivotField showAll="0"/>
    <pivotField showAll="0"/>
    <pivotField showAll="0"/>
    <pivotField dataField="1" numFmtId="164" showAll="0"/>
    <pivotField showAll="0"/>
    <pivotField showAll="0"/>
    <pivotField showAll="0"/>
  </pivotFields>
  <rowFields count="1">
    <field x="1"/>
  </rowFields>
  <rowItems count="13">
    <i>
      <x/>
    </i>
    <i>
      <x v="1"/>
    </i>
    <i>
      <x v="2"/>
    </i>
    <i>
      <x v="3"/>
    </i>
    <i>
      <x v="5"/>
    </i>
    <i>
      <x v="6"/>
    </i>
    <i>
      <x v="7"/>
    </i>
    <i>
      <x v="8"/>
    </i>
    <i>
      <x v="9"/>
    </i>
    <i>
      <x v="10"/>
    </i>
    <i>
      <x v="11"/>
    </i>
    <i>
      <x v="12"/>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E5A920-54A0-4C64-B9F2-B2677415F42F}" name="PivotTable3" cacheId="487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5:H19" firstHeaderRow="1" firstDataRow="1" firstDataCol="1"/>
  <pivotFields count="10">
    <pivotField showAll="0">
      <items count="3">
        <item x="0"/>
        <item m="1" x="1"/>
        <item t="default"/>
      </items>
    </pivotField>
    <pivotField showAll="0"/>
    <pivotField axis="axisRow" showAll="0">
      <items count="17">
        <item m="1" x="12"/>
        <item x="0"/>
        <item x="2"/>
        <item m="1" x="3"/>
        <item m="1" x="4"/>
        <item m="1" x="14"/>
        <item m="1" x="13"/>
        <item m="1" x="11"/>
        <item m="1" x="10"/>
        <item m="1" x="9"/>
        <item m="1" x="8"/>
        <item m="1" x="7"/>
        <item m="1" x="6"/>
        <item m="1" x="5"/>
        <item m="1" x="15"/>
        <item x="1"/>
        <item t="default"/>
      </items>
    </pivotField>
    <pivotField showAll="0"/>
    <pivotField showAll="0"/>
    <pivotField showAll="0"/>
    <pivotField dataField="1" numFmtId="164" showAll="0"/>
    <pivotField showAll="0"/>
    <pivotField showAll="0"/>
    <pivotField showAll="0"/>
  </pivotFields>
  <rowFields count="1">
    <field x="2"/>
  </rowFields>
  <rowItems count="4">
    <i>
      <x v="1"/>
    </i>
    <i>
      <x v="2"/>
    </i>
    <i>
      <x v="15"/>
    </i>
    <i t="grand">
      <x/>
    </i>
  </rowItems>
  <colItems count="1">
    <i/>
  </colItems>
  <dataFields count="1">
    <dataField name="Sum of Amount" fld="6"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F4458D-8831-4D02-A7B4-837A01BE9D64}" name="PivotTable4" cacheId="487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4" firstHeaderRow="1" firstDataRow="1" firstDataCol="1"/>
  <pivotFields count="10">
    <pivotField showAll="0">
      <items count="3">
        <item x="0"/>
        <item m="1" x="1"/>
        <item t="default"/>
      </items>
    </pivotField>
    <pivotField showAll="0"/>
    <pivotField showAll="0"/>
    <pivotField showAll="0"/>
    <pivotField axis="axisRow" showAll="0">
      <items count="7">
        <item m="1" x="2"/>
        <item m="1" x="3"/>
        <item m="1" x="5"/>
        <item m="1" x="4"/>
        <item x="0"/>
        <item x="1"/>
        <item t="default"/>
      </items>
    </pivotField>
    <pivotField showAll="0"/>
    <pivotField dataField="1" numFmtId="164" showAll="0"/>
    <pivotField showAll="0"/>
    <pivotField showAll="0"/>
    <pivotField showAll="0"/>
  </pivotFields>
  <rowFields count="1">
    <field x="4"/>
  </rowFields>
  <rowItems count="3">
    <i>
      <x v="4"/>
    </i>
    <i>
      <x v="5"/>
    </i>
    <i t="grand">
      <x/>
    </i>
  </rowItems>
  <colItems count="1">
    <i/>
  </colItems>
  <dataFields count="1">
    <dataField name="Sum of Amount" fld="6" baseField="0" baseItem="0"/>
  </dataFields>
  <chartFormats count="1">
    <chartFormat chart="1"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4AE433F-1457-4529-BB4D-5EAB0838A28A}" name="PivotTable5" cacheId="487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8:H22" firstHeaderRow="1" firstDataRow="1" firstDataCol="1"/>
  <pivotFields count="10">
    <pivotField showAll="0">
      <items count="3">
        <item x="0"/>
        <item m="1" x="1"/>
        <item t="default"/>
      </items>
    </pivotField>
    <pivotField showAll="0"/>
    <pivotField axis="axisRow" showAll="0">
      <items count="17">
        <item m="1" x="12"/>
        <item x="0"/>
        <item x="2"/>
        <item m="1" x="3"/>
        <item m="1" x="4"/>
        <item m="1" x="14"/>
        <item m="1" x="13"/>
        <item m="1" x="11"/>
        <item m="1" x="10"/>
        <item m="1" x="9"/>
        <item m="1" x="8"/>
        <item m="1" x="7"/>
        <item m="1" x="6"/>
        <item m="1" x="5"/>
        <item m="1" x="15"/>
        <item x="1"/>
        <item t="default"/>
      </items>
    </pivotField>
    <pivotField showAll="0"/>
    <pivotField showAll="0"/>
    <pivotField showAll="0"/>
    <pivotField numFmtId="164" showAll="0"/>
    <pivotField showAll="0"/>
    <pivotField dataField="1" showAll="0"/>
    <pivotField showAll="0"/>
  </pivotFields>
  <rowFields count="1">
    <field x="2"/>
  </rowFields>
  <rowItems count="4">
    <i>
      <x v="1"/>
    </i>
    <i>
      <x v="2"/>
    </i>
    <i>
      <x v="15"/>
    </i>
    <i t="grand">
      <x/>
    </i>
  </rowItems>
  <colItems count="1">
    <i/>
  </colItems>
  <dataFields count="1">
    <dataField name="Sum of Late fees" fld="8"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3D5987A-3817-485B-9DCC-714A3821673F}" name="PivotTable6" cacheId="487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A1:B4" firstHeaderRow="1" firstDataRow="1" firstDataCol="1"/>
  <pivotFields count="10">
    <pivotField showAll="0">
      <items count="3">
        <item x="0"/>
        <item m="1" x="1"/>
        <item t="default"/>
      </items>
    </pivotField>
    <pivotField showAll="0"/>
    <pivotField showAll="0"/>
    <pivotField showAll="0"/>
    <pivotField showAll="0"/>
    <pivotField showAll="0"/>
    <pivotField numFmtId="164" showAll="0"/>
    <pivotField axis="axisRow" dataField="1" showAll="0">
      <items count="4">
        <item x="0"/>
        <item x="1"/>
        <item m="1" x="2"/>
        <item t="default"/>
      </items>
    </pivotField>
    <pivotField showAll="0"/>
    <pivotField showAll="0"/>
  </pivotFields>
  <rowFields count="1">
    <field x="7"/>
  </rowFields>
  <rowItems count="3">
    <i>
      <x/>
    </i>
    <i>
      <x v="1"/>
    </i>
    <i t="grand">
      <x/>
    </i>
  </rowItems>
  <colItems count="1">
    <i/>
  </colItems>
  <dataFields count="1">
    <dataField name="Count of Late" fld="7" subtotal="count" baseField="0" baseItem="0"/>
  </dataFields>
  <chartFormats count="3">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7" count="1" selected="0">
            <x v="0"/>
          </reference>
        </references>
      </pivotArea>
    </chartFormat>
    <chartFormat chart="1" format="3">
      <pivotArea type="data" outline="0" fieldPosition="0">
        <references count="2">
          <reference field="4294967294" count="1" selected="0">
            <x v="0"/>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560D312-61C3-4276-A809-CB184BEFA470}" name="PivotTable7" cacheId="487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N20:O22" firstHeaderRow="1" firstDataRow="1" firstDataCol="1"/>
  <pivotFields count="10">
    <pivotField showAll="0">
      <items count="3">
        <item x="0"/>
        <item x="1"/>
        <item t="default"/>
      </items>
    </pivotField>
    <pivotField showAll="0"/>
    <pivotField showAll="0"/>
    <pivotField showAll="0"/>
    <pivotField axis="axisRow" showAll="0">
      <items count="3">
        <item x="0"/>
        <item m="1" x="1"/>
        <item t="default"/>
      </items>
    </pivotField>
    <pivotField showAll="0"/>
    <pivotField showAll="0"/>
    <pivotField dataField="1" showAll="0"/>
    <pivotField showAll="0"/>
    <pivotField showAll="0"/>
  </pivotFields>
  <rowFields count="1">
    <field x="4"/>
  </rowFields>
  <rowItems count="2">
    <i>
      <x/>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6519E16-9815-4852-BE04-A726E32DB235}" name="PivotTable8" cacheId="487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G18:H20" firstHeaderRow="1" firstDataRow="1" firstDataCol="1"/>
  <pivotFields count="10">
    <pivotField showAll="0">
      <items count="3">
        <item x="0"/>
        <item x="1"/>
        <item t="default"/>
      </items>
    </pivotField>
    <pivotField showAll="0"/>
    <pivotField axis="axisRow" showAll="0">
      <items count="5">
        <item m="1" x="2"/>
        <item m="1" x="3"/>
        <item x="0"/>
        <item m="1" x="1"/>
        <item t="default"/>
      </items>
    </pivotField>
    <pivotField showAll="0"/>
    <pivotField showAll="0"/>
    <pivotField showAll="0"/>
    <pivotField showAll="0"/>
    <pivotField dataField="1" showAll="0"/>
    <pivotField showAll="0"/>
    <pivotField showAll="0"/>
  </pivotFields>
  <rowFields count="1">
    <field x="2"/>
  </rowFields>
  <rowItems count="2">
    <i>
      <x v="2"/>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496D674-13DA-45AD-B6AF-7883E2F5F81C}" name="PivotTable9" cacheId="487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M17:N20" firstHeaderRow="1" firstDataRow="1" firstDataCol="1"/>
  <pivotFields count="10">
    <pivotField showAll="0">
      <items count="3">
        <item x="0"/>
        <item x="1"/>
        <item t="default"/>
      </items>
    </pivotField>
    <pivotField showAll="0"/>
    <pivotField showAll="0"/>
    <pivotField showAll="0"/>
    <pivotField showAll="0"/>
    <pivotField showAll="0"/>
    <pivotField axis="axisRow" showAll="0">
      <items count="6">
        <item x="1"/>
        <item m="1" x="4"/>
        <item x="0"/>
        <item m="1" x="3"/>
        <item m="1" x="2"/>
        <item t="default"/>
      </items>
    </pivotField>
    <pivotField dataField="1" showAll="0"/>
    <pivotField showAll="0"/>
    <pivotField showAll="0"/>
  </pivotFields>
  <rowFields count="1">
    <field x="6"/>
  </rowFields>
  <rowItems count="3">
    <i>
      <x/>
    </i>
    <i>
      <x v="2"/>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1C7180FC-35CB-4461-A85F-2762D893593A}" name="PivotTable10" cacheId="487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
  <location ref="N20:O23" firstHeaderRow="1" firstDataRow="1" firstDataCol="1"/>
  <pivotFields count="10">
    <pivotField showAll="0">
      <items count="3">
        <item x="0"/>
        <item x="1"/>
        <item t="default"/>
      </items>
    </pivotField>
    <pivotField axis="axisRow" showAll="0">
      <items count="5">
        <item m="1" x="3"/>
        <item x="0"/>
        <item m="1" x="2"/>
        <item x="1"/>
        <item t="default"/>
      </items>
    </pivotField>
    <pivotField showAll="0"/>
    <pivotField showAll="0"/>
    <pivotField showAll="0"/>
    <pivotField showAll="0"/>
    <pivotField showAll="0"/>
    <pivotField dataField="1" showAll="0"/>
    <pivotField showAll="0"/>
    <pivotField showAll="0"/>
  </pivotFields>
  <rowFields count="1">
    <field x="1"/>
  </rowFields>
  <rowItems count="3">
    <i>
      <x v="1"/>
    </i>
    <i>
      <x v="3"/>
    </i>
    <i t="grand">
      <x/>
    </i>
  </rowItems>
  <colItems count="1">
    <i/>
  </colItems>
  <dataFields count="1">
    <dataField name="Sum of Amount" fld="7" baseField="0" baseItem="0"/>
  </dataField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2AA1B578-F45B-421E-9975-8CA86F9CDB9E}" sourceName="Year">
  <pivotTables>
    <pivotTable tabId="19" name="PivotTable9"/>
    <pivotTable tabId="20" name="PivotTable10"/>
    <pivotTable tabId="18" name="PivotTable8"/>
    <pivotTable tabId="17" name="PivotTable7"/>
  </pivotTables>
  <data>
    <tabular pivotCacheId="1365260540">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D14CF6D-6620-4724-A02C-320A50049172}" sourceName="Year">
  <pivotTables>
    <pivotTable tabId="10" name="PivotTable2"/>
    <pivotTable tabId="12" name="PivotTable3"/>
    <pivotTable tabId="9" name="PivotTable1"/>
    <pivotTable tabId="11" name="PivotTable4"/>
    <pivotTable tabId="15" name="PivotTable5"/>
    <pivotTable tabId="16" name="PivotTable6"/>
  </pivotTables>
  <data>
    <tabular pivotCacheId="1527227795">
      <items count="2">
        <i x="0" s="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ED92328F-B317-48C6-A6E4-82A4B1045B9A}" cache="Slicer_Year" caption="Year" columnCount="2"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4C6FF700-970E-45C3-A43C-C0EF7EB1372B}" cache="Slicer_Year1" caption="Year" columnCount="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92850AE-F3AD-4140-B124-18E2D4487EFF}" name="Data_Table" displayName="Data_Table" ref="A1:J37" totalsRowShown="0" headerRowDxfId="6">
  <autoFilter ref="A1:J37" xr:uid="{C92850AE-F3AD-4140-B124-18E2D4487EFF}"/>
  <tableColumns count="10">
    <tableColumn id="1" xr3:uid="{8D63D74C-5AA0-4729-9115-88E3E1644724}" name="Year" dataDxfId="0"/>
    <tableColumn id="2" xr3:uid="{E2851BAF-F640-4AA9-A2C7-C525FB3B8744}" name="Month" dataDxfId="1"/>
    <tableColumn id="3" xr3:uid="{D0BD6EAD-DC0B-43D0-8DC6-9B066D64DF44}" name="Address"/>
    <tableColumn id="4" xr3:uid="{F281C9E7-4F08-4B90-AFCD-612FBBE5F7AC}" name="City"/>
    <tableColumn id="5" xr3:uid="{345142E1-B509-4CB2-86C2-FF7BFFCE02B7}" name="Zip code"/>
    <tableColumn id="6" xr3:uid="{E269F54F-3FDC-43B4-A580-FCFB3902DDDA}" name="State"/>
    <tableColumn id="7" xr3:uid="{E8582A51-4950-456F-8788-776FE581B529}" name="Amount" dataDxfId="5" dataCellStyle="Currency"/>
    <tableColumn id="8" xr3:uid="{FB8C474C-A48D-40A1-A183-70F15C5EB15A}" name="Late" dataDxfId="4"/>
    <tableColumn id="9" xr3:uid="{ACC529D1-AB42-4501-AF15-D1102FC78CCF}" name="Late fees"/>
    <tableColumn id="10" xr3:uid="{2EE2907C-5040-4BD8-8F1E-EC0A1275FCFE}" name="I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0BCA2A2-558D-4476-9DCD-5E884C2B9C27}" name="Expense_Table" displayName="Expense_Table" ref="A1:J3" totalsRowShown="0" headerRowDxfId="2">
  <autoFilter ref="A1:J3" xr:uid="{A0BCA2A2-558D-4476-9DCD-5E884C2B9C27}"/>
  <tableColumns count="10">
    <tableColumn id="1" xr3:uid="{C949EBFA-7282-46C1-B2EB-324D8252719B}" name="Year"/>
    <tableColumn id="2" xr3:uid="{30FAC72E-B3AB-48AC-B222-BDAC1384A039}" name="Month"/>
    <tableColumn id="3" xr3:uid="{1B0F67AD-C165-4A95-841B-15724116B900}" name="Address"/>
    <tableColumn id="4" xr3:uid="{57E1BACE-E6FD-4632-8CF8-530998015F77}" name="City"/>
    <tableColumn id="5" xr3:uid="{1E389B49-BFD2-497C-9C85-C7490D3CDCA6}" name="Zip Code"/>
    <tableColumn id="6" xr3:uid="{12DAD25E-037D-402B-A189-3FB1F412820F}" name="State"/>
    <tableColumn id="7" xr3:uid="{0E715D2D-C438-4A27-BB35-30FFDA6BD1C5}" name="Type of Expenses"/>
    <tableColumn id="8" xr3:uid="{76BA655D-8B40-4C56-AD2C-9C569AB52203}" name="Amount"/>
    <tableColumn id="9" xr3:uid="{71A454A1-CB81-4D2F-9721-5C31A6FCEA0A}" name="Receipt/ invoice number"/>
    <tableColumn id="10" xr3:uid="{98D61EBB-DA47-4498-A948-C5C9A63A7C83}" name="Record I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76670-DE1E-48E1-9A7D-C3F797BDC120}">
  <sheetPr codeName="Sheet1"/>
  <dimension ref="A1"/>
  <sheetViews>
    <sheetView showRowColHeaders="0" zoomScale="143" zoomScaleNormal="143" workbookViewId="0">
      <selection sqref="A1:H17"/>
    </sheetView>
  </sheetViews>
  <sheetFormatPr defaultColWidth="9.109375" defaultRowHeight="14.4" x14ac:dyDescent="0.3"/>
  <cols>
    <col min="1" max="16384" width="9.109375" style="13"/>
  </cols>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1.cb_addrent">
                <anchor moveWithCells="1" sizeWithCells="1">
                  <from>
                    <xdr:col>1</xdr:col>
                    <xdr:colOff>60960</xdr:colOff>
                    <xdr:row>3</xdr:row>
                    <xdr:rowOff>167640</xdr:rowOff>
                  </from>
                  <to>
                    <xdr:col>4</xdr:col>
                    <xdr:colOff>99060</xdr:colOff>
                    <xdr:row>7</xdr:row>
                    <xdr:rowOff>129540</xdr:rowOff>
                  </to>
                </anchor>
              </controlPr>
            </control>
          </mc:Choice>
        </mc:AlternateContent>
        <mc:AlternateContent xmlns:mc="http://schemas.openxmlformats.org/markup-compatibility/2006">
          <mc:Choice Requires="x14">
            <control shapeId="1027" r:id="rId5" name="Button 3">
              <controlPr defaultSize="0" print="0" autoFill="0" autoPict="0" macro="[0]!Sheet1.Rev_Dashboard">
                <anchor moveWithCells="1" sizeWithCells="1">
                  <from>
                    <xdr:col>1</xdr:col>
                    <xdr:colOff>53340</xdr:colOff>
                    <xdr:row>8</xdr:row>
                    <xdr:rowOff>15240</xdr:rowOff>
                  </from>
                  <to>
                    <xdr:col>4</xdr:col>
                    <xdr:colOff>99060</xdr:colOff>
                    <xdr:row>11</xdr:row>
                    <xdr:rowOff>160020</xdr:rowOff>
                  </to>
                </anchor>
              </controlPr>
            </control>
          </mc:Choice>
        </mc:AlternateContent>
        <mc:AlternateContent xmlns:mc="http://schemas.openxmlformats.org/markup-compatibility/2006">
          <mc:Choice Requires="x14">
            <control shapeId="1029" r:id="rId6" name="Button 5">
              <controlPr defaultSize="0" print="0" autoFill="0" autoPict="0" macro="[0]!cb_Exit">
                <anchor moveWithCells="1" sizeWithCells="1">
                  <from>
                    <xdr:col>2</xdr:col>
                    <xdr:colOff>609600</xdr:colOff>
                    <xdr:row>12</xdr:row>
                    <xdr:rowOff>38100</xdr:rowOff>
                  </from>
                  <to>
                    <xdr:col>6</xdr:col>
                    <xdr:colOff>0</xdr:colOff>
                    <xdr:row>16</xdr:row>
                    <xdr:rowOff>0</xdr:rowOff>
                  </to>
                </anchor>
              </controlPr>
            </control>
          </mc:Choice>
        </mc:AlternateContent>
        <mc:AlternateContent xmlns:mc="http://schemas.openxmlformats.org/markup-compatibility/2006">
          <mc:Choice Requires="x14">
            <control shapeId="1031" r:id="rId7" name="Button 7">
              <controlPr defaultSize="0" print="0" autoFill="0" autoPict="0" macro="[0]!Sheet1.cb_Expenses">
                <anchor moveWithCells="1" sizeWithCells="1">
                  <from>
                    <xdr:col>4</xdr:col>
                    <xdr:colOff>441960</xdr:colOff>
                    <xdr:row>3</xdr:row>
                    <xdr:rowOff>175260</xdr:rowOff>
                  </from>
                  <to>
                    <xdr:col>7</xdr:col>
                    <xdr:colOff>472440</xdr:colOff>
                    <xdr:row>7</xdr:row>
                    <xdr:rowOff>137160</xdr:rowOff>
                  </to>
                </anchor>
              </controlPr>
            </control>
          </mc:Choice>
        </mc:AlternateContent>
        <mc:AlternateContent xmlns:mc="http://schemas.openxmlformats.org/markup-compatibility/2006">
          <mc:Choice Requires="x14">
            <control shapeId="1032" r:id="rId8" name="Button 8">
              <controlPr defaultSize="0" print="0" autoFill="0" autoPict="0" macro="[0]!Sheet1.Exp_Dashboard">
                <anchor moveWithCells="1" sizeWithCells="1">
                  <from>
                    <xdr:col>4</xdr:col>
                    <xdr:colOff>434340</xdr:colOff>
                    <xdr:row>8</xdr:row>
                    <xdr:rowOff>15240</xdr:rowOff>
                  </from>
                  <to>
                    <xdr:col>7</xdr:col>
                    <xdr:colOff>480060</xdr:colOff>
                    <xdr:row>11</xdr:row>
                    <xdr:rowOff>160020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787DE-DEF3-49B6-98ED-BB9C3D24FECD}">
  <sheetPr codeName="Sheet2">
    <tabColor theme="9" tint="-0.249977111117893"/>
  </sheetPr>
  <dimension ref="A1:J37"/>
  <sheetViews>
    <sheetView topLeftCell="A22" workbookViewId="0">
      <selection activeCell="C42" sqref="C42"/>
    </sheetView>
  </sheetViews>
  <sheetFormatPr defaultRowHeight="14.4" x14ac:dyDescent="0.3"/>
  <cols>
    <col min="1" max="1" width="9.109375" style="15"/>
    <col min="2" max="2" width="9.109375" style="3"/>
    <col min="3" max="3" width="27.44140625" customWidth="1"/>
    <col min="4" max="5" width="15.77734375" customWidth="1"/>
    <col min="6" max="6" width="17.6640625" customWidth="1"/>
    <col min="7" max="7" width="11.109375" style="1" customWidth="1"/>
    <col min="8" max="8" width="6.5546875" style="2" customWidth="1"/>
    <col min="9" max="9" width="10.33203125" customWidth="1"/>
  </cols>
  <sheetData>
    <row r="1" spans="1:10" x14ac:dyDescent="0.3">
      <c r="A1" s="14" t="s">
        <v>2</v>
      </c>
      <c r="B1" s="5" t="s">
        <v>0</v>
      </c>
      <c r="C1" s="4" t="s">
        <v>1</v>
      </c>
      <c r="D1" s="4" t="s">
        <v>6</v>
      </c>
      <c r="E1" s="4" t="s">
        <v>7</v>
      </c>
      <c r="F1" s="4" t="s">
        <v>8</v>
      </c>
      <c r="G1" s="6" t="s">
        <v>3</v>
      </c>
      <c r="H1" s="7" t="s">
        <v>4</v>
      </c>
      <c r="I1" s="4" t="s">
        <v>5</v>
      </c>
      <c r="J1" s="4" t="s">
        <v>9</v>
      </c>
    </row>
    <row r="2" spans="1:10" x14ac:dyDescent="0.3">
      <c r="A2" s="15">
        <v>2021</v>
      </c>
      <c r="B2" s="3" t="s">
        <v>10</v>
      </c>
      <c r="C2" t="s">
        <v>11</v>
      </c>
      <c r="D2" t="s">
        <v>21</v>
      </c>
      <c r="E2">
        <v>32304</v>
      </c>
      <c r="F2" t="s">
        <v>22</v>
      </c>
      <c r="G2" s="1">
        <v>1000</v>
      </c>
      <c r="H2" s="2" t="s">
        <v>12</v>
      </c>
      <c r="I2">
        <v>0</v>
      </c>
      <c r="J2">
        <v>1</v>
      </c>
    </row>
    <row r="3" spans="1:10" x14ac:dyDescent="0.3">
      <c r="A3" s="15">
        <v>2021</v>
      </c>
      <c r="B3" s="3" t="s">
        <v>20</v>
      </c>
      <c r="C3" t="s">
        <v>11</v>
      </c>
      <c r="D3" t="s">
        <v>21</v>
      </c>
      <c r="E3">
        <v>32304</v>
      </c>
      <c r="F3" t="s">
        <v>22</v>
      </c>
      <c r="G3" s="1">
        <v>1000</v>
      </c>
      <c r="H3" s="2" t="s">
        <v>12</v>
      </c>
      <c r="I3">
        <v>0</v>
      </c>
      <c r="J3">
        <v>2</v>
      </c>
    </row>
    <row r="4" spans="1:10" x14ac:dyDescent="0.3">
      <c r="A4" s="15">
        <v>2021</v>
      </c>
      <c r="B4" s="3" t="s">
        <v>13</v>
      </c>
      <c r="C4" t="s">
        <v>11</v>
      </c>
      <c r="D4" t="s">
        <v>21</v>
      </c>
      <c r="E4">
        <v>32304</v>
      </c>
      <c r="F4" t="s">
        <v>22</v>
      </c>
      <c r="G4" s="1">
        <v>1000</v>
      </c>
      <c r="H4" s="2" t="s">
        <v>12</v>
      </c>
      <c r="I4">
        <v>0</v>
      </c>
      <c r="J4">
        <v>3</v>
      </c>
    </row>
    <row r="5" spans="1:10" x14ac:dyDescent="0.3">
      <c r="A5" s="15">
        <v>2021</v>
      </c>
      <c r="B5" s="3" t="s">
        <v>29</v>
      </c>
      <c r="C5" t="s">
        <v>11</v>
      </c>
      <c r="D5" t="s">
        <v>21</v>
      </c>
      <c r="E5">
        <v>32304</v>
      </c>
      <c r="F5" t="s">
        <v>22</v>
      </c>
      <c r="G5" s="1">
        <v>1000</v>
      </c>
      <c r="H5" s="2" t="s">
        <v>12</v>
      </c>
      <c r="I5">
        <v>0</v>
      </c>
      <c r="J5">
        <v>4</v>
      </c>
    </row>
    <row r="6" spans="1:10" x14ac:dyDescent="0.3">
      <c r="A6" s="15">
        <v>2021</v>
      </c>
      <c r="B6" s="3" t="s">
        <v>14</v>
      </c>
      <c r="C6" t="s">
        <v>11</v>
      </c>
      <c r="D6" t="s">
        <v>21</v>
      </c>
      <c r="E6">
        <v>32304</v>
      </c>
      <c r="F6" t="s">
        <v>22</v>
      </c>
      <c r="G6" s="1">
        <v>1000</v>
      </c>
      <c r="H6" s="2" t="s">
        <v>12</v>
      </c>
      <c r="I6">
        <v>0</v>
      </c>
      <c r="J6">
        <v>5</v>
      </c>
    </row>
    <row r="7" spans="1:10" x14ac:dyDescent="0.3">
      <c r="A7" s="15">
        <v>2021</v>
      </c>
      <c r="B7" s="3" t="s">
        <v>15</v>
      </c>
      <c r="C7" t="s">
        <v>11</v>
      </c>
      <c r="D7" t="s">
        <v>21</v>
      </c>
      <c r="E7">
        <v>32304</v>
      </c>
      <c r="F7" t="s">
        <v>22</v>
      </c>
      <c r="G7" s="1">
        <v>900</v>
      </c>
      <c r="H7" s="2" t="s">
        <v>12</v>
      </c>
      <c r="I7">
        <v>0</v>
      </c>
      <c r="J7">
        <v>6</v>
      </c>
    </row>
    <row r="8" spans="1:10" x14ac:dyDescent="0.3">
      <c r="A8" s="15">
        <v>2021</v>
      </c>
      <c r="B8" s="3" t="s">
        <v>30</v>
      </c>
      <c r="C8" t="s">
        <v>11</v>
      </c>
      <c r="D8" t="s">
        <v>21</v>
      </c>
      <c r="E8">
        <v>32304</v>
      </c>
      <c r="F8" t="s">
        <v>22</v>
      </c>
      <c r="G8" s="1">
        <v>900</v>
      </c>
      <c r="H8" s="2" t="s">
        <v>12</v>
      </c>
      <c r="I8">
        <v>0</v>
      </c>
      <c r="J8">
        <v>7</v>
      </c>
    </row>
    <row r="9" spans="1:10" x14ac:dyDescent="0.3">
      <c r="A9" s="15">
        <v>2021</v>
      </c>
      <c r="B9" s="3" t="s">
        <v>31</v>
      </c>
      <c r="C9" t="s">
        <v>11</v>
      </c>
      <c r="D9" t="s">
        <v>21</v>
      </c>
      <c r="E9">
        <v>32304</v>
      </c>
      <c r="F9" t="s">
        <v>22</v>
      </c>
      <c r="G9" s="1">
        <v>1000</v>
      </c>
      <c r="H9" s="2" t="s">
        <v>12</v>
      </c>
      <c r="I9">
        <v>0</v>
      </c>
      <c r="J9">
        <v>8</v>
      </c>
    </row>
    <row r="10" spans="1:10" x14ac:dyDescent="0.3">
      <c r="A10" s="15">
        <v>2021</v>
      </c>
      <c r="B10" s="3" t="s">
        <v>32</v>
      </c>
      <c r="C10" t="s">
        <v>11</v>
      </c>
      <c r="D10" t="s">
        <v>21</v>
      </c>
      <c r="E10">
        <v>32304</v>
      </c>
      <c r="F10" t="s">
        <v>22</v>
      </c>
      <c r="G10" s="1">
        <v>1500</v>
      </c>
      <c r="H10" s="2" t="s">
        <v>12</v>
      </c>
      <c r="I10">
        <v>0</v>
      </c>
      <c r="J10">
        <v>9</v>
      </c>
    </row>
    <row r="11" spans="1:10" x14ac:dyDescent="0.3">
      <c r="A11" s="15">
        <v>2021</v>
      </c>
      <c r="B11" s="3" t="s">
        <v>33</v>
      </c>
      <c r="C11" t="s">
        <v>11</v>
      </c>
      <c r="D11" t="s">
        <v>21</v>
      </c>
      <c r="E11">
        <v>32304</v>
      </c>
      <c r="F11" t="s">
        <v>22</v>
      </c>
      <c r="G11" s="1">
        <v>1000</v>
      </c>
      <c r="H11" s="2" t="s">
        <v>36</v>
      </c>
      <c r="I11">
        <v>40</v>
      </c>
      <c r="J11">
        <v>10</v>
      </c>
    </row>
    <row r="12" spans="1:10" x14ac:dyDescent="0.3">
      <c r="A12" s="15">
        <v>2021</v>
      </c>
      <c r="B12" s="3" t="s">
        <v>34</v>
      </c>
      <c r="C12" t="s">
        <v>11</v>
      </c>
      <c r="D12" t="s">
        <v>21</v>
      </c>
      <c r="E12">
        <v>32304</v>
      </c>
      <c r="F12" t="s">
        <v>22</v>
      </c>
      <c r="G12" s="1">
        <v>1500</v>
      </c>
      <c r="H12" s="2" t="s">
        <v>12</v>
      </c>
      <c r="I12">
        <v>0</v>
      </c>
      <c r="J12">
        <v>11</v>
      </c>
    </row>
    <row r="13" spans="1:10" x14ac:dyDescent="0.3">
      <c r="A13" s="15">
        <v>2021</v>
      </c>
      <c r="B13" s="3" t="s">
        <v>35</v>
      </c>
      <c r="C13" t="s">
        <v>11</v>
      </c>
      <c r="D13" t="s">
        <v>21</v>
      </c>
      <c r="E13">
        <v>32304</v>
      </c>
      <c r="F13" t="s">
        <v>22</v>
      </c>
      <c r="G13" s="1">
        <v>1500</v>
      </c>
      <c r="H13" s="2" t="s">
        <v>12</v>
      </c>
      <c r="I13">
        <v>0</v>
      </c>
      <c r="J13">
        <v>12</v>
      </c>
    </row>
    <row r="14" spans="1:10" x14ac:dyDescent="0.3">
      <c r="A14" s="15">
        <v>2021</v>
      </c>
      <c r="B14" s="3" t="s">
        <v>10</v>
      </c>
      <c r="C14" t="s">
        <v>23</v>
      </c>
      <c r="D14" t="s">
        <v>21</v>
      </c>
      <c r="E14">
        <v>32304</v>
      </c>
      <c r="F14" t="s">
        <v>22</v>
      </c>
      <c r="G14" s="1">
        <v>600</v>
      </c>
      <c r="H14" s="2" t="s">
        <v>12</v>
      </c>
      <c r="I14">
        <v>0</v>
      </c>
      <c r="J14">
        <v>13</v>
      </c>
    </row>
    <row r="15" spans="1:10" x14ac:dyDescent="0.3">
      <c r="A15" s="15">
        <v>2021</v>
      </c>
      <c r="B15" s="3" t="s">
        <v>20</v>
      </c>
      <c r="C15" t="s">
        <v>23</v>
      </c>
      <c r="D15" t="s">
        <v>21</v>
      </c>
      <c r="E15">
        <v>32304</v>
      </c>
      <c r="F15" t="s">
        <v>22</v>
      </c>
      <c r="G15" s="1">
        <v>600</v>
      </c>
      <c r="H15" s="2" t="s">
        <v>12</v>
      </c>
      <c r="I15">
        <v>0</v>
      </c>
      <c r="J15">
        <v>14</v>
      </c>
    </row>
    <row r="16" spans="1:10" x14ac:dyDescent="0.3">
      <c r="A16" s="15">
        <v>2021</v>
      </c>
      <c r="B16" s="3" t="s">
        <v>13</v>
      </c>
      <c r="C16" t="s">
        <v>23</v>
      </c>
      <c r="D16" t="s">
        <v>21</v>
      </c>
      <c r="E16">
        <v>32304</v>
      </c>
      <c r="F16" t="s">
        <v>22</v>
      </c>
      <c r="G16" s="1">
        <v>600</v>
      </c>
      <c r="H16" s="2" t="s">
        <v>12</v>
      </c>
      <c r="I16">
        <v>0</v>
      </c>
      <c r="J16">
        <v>15</v>
      </c>
    </row>
    <row r="17" spans="1:10" x14ac:dyDescent="0.3">
      <c r="A17" s="15">
        <v>2021</v>
      </c>
      <c r="B17" s="3" t="s">
        <v>29</v>
      </c>
      <c r="C17" t="s">
        <v>23</v>
      </c>
      <c r="D17" t="s">
        <v>21</v>
      </c>
      <c r="E17">
        <v>32304</v>
      </c>
      <c r="F17" t="s">
        <v>22</v>
      </c>
      <c r="G17" s="1">
        <v>600</v>
      </c>
      <c r="H17" s="2" t="s">
        <v>12</v>
      </c>
      <c r="I17">
        <v>0</v>
      </c>
      <c r="J17">
        <v>16</v>
      </c>
    </row>
    <row r="18" spans="1:10" x14ac:dyDescent="0.3">
      <c r="A18" s="15">
        <v>2021</v>
      </c>
      <c r="B18" s="3" t="s">
        <v>14</v>
      </c>
      <c r="C18" t="s">
        <v>23</v>
      </c>
      <c r="D18" t="s">
        <v>21</v>
      </c>
      <c r="E18">
        <v>32304</v>
      </c>
      <c r="F18" t="s">
        <v>22</v>
      </c>
      <c r="G18" s="1">
        <v>600</v>
      </c>
      <c r="H18" s="2" t="s">
        <v>12</v>
      </c>
      <c r="I18">
        <v>0</v>
      </c>
      <c r="J18">
        <v>17</v>
      </c>
    </row>
    <row r="19" spans="1:10" x14ac:dyDescent="0.3">
      <c r="A19" s="15">
        <v>2021</v>
      </c>
      <c r="B19" s="3" t="s">
        <v>15</v>
      </c>
      <c r="C19" t="s">
        <v>23</v>
      </c>
      <c r="D19" t="s">
        <v>21</v>
      </c>
      <c r="E19">
        <v>32304</v>
      </c>
      <c r="F19" t="s">
        <v>22</v>
      </c>
      <c r="G19" s="1">
        <v>600</v>
      </c>
      <c r="H19" s="2" t="s">
        <v>12</v>
      </c>
      <c r="I19">
        <v>0</v>
      </c>
      <c r="J19">
        <v>18</v>
      </c>
    </row>
    <row r="20" spans="1:10" x14ac:dyDescent="0.3">
      <c r="A20" s="15">
        <v>2021</v>
      </c>
      <c r="B20" s="3" t="s">
        <v>30</v>
      </c>
      <c r="C20" t="s">
        <v>23</v>
      </c>
      <c r="D20" t="s">
        <v>21</v>
      </c>
      <c r="E20">
        <v>32304</v>
      </c>
      <c r="F20" t="s">
        <v>22</v>
      </c>
      <c r="G20" s="1">
        <v>600</v>
      </c>
      <c r="H20" s="2" t="s">
        <v>36</v>
      </c>
      <c r="I20">
        <v>80</v>
      </c>
      <c r="J20">
        <v>19</v>
      </c>
    </row>
    <row r="21" spans="1:10" x14ac:dyDescent="0.3">
      <c r="A21" s="15">
        <v>2021</v>
      </c>
      <c r="B21" s="3" t="s">
        <v>31</v>
      </c>
      <c r="C21" t="s">
        <v>23</v>
      </c>
      <c r="D21" t="s">
        <v>21</v>
      </c>
      <c r="E21">
        <v>32304</v>
      </c>
      <c r="F21" t="s">
        <v>22</v>
      </c>
      <c r="G21" s="1">
        <v>600</v>
      </c>
      <c r="H21" s="2" t="s">
        <v>12</v>
      </c>
      <c r="I21">
        <v>0</v>
      </c>
      <c r="J21">
        <v>20</v>
      </c>
    </row>
    <row r="22" spans="1:10" x14ac:dyDescent="0.3">
      <c r="A22" s="15">
        <v>2021</v>
      </c>
      <c r="B22" s="3" t="s">
        <v>32</v>
      </c>
      <c r="C22" t="s">
        <v>23</v>
      </c>
      <c r="D22" t="s">
        <v>21</v>
      </c>
      <c r="E22">
        <v>32304</v>
      </c>
      <c r="F22" t="s">
        <v>22</v>
      </c>
      <c r="G22" s="1">
        <v>600</v>
      </c>
      <c r="H22" s="2" t="s">
        <v>12</v>
      </c>
      <c r="I22">
        <v>0</v>
      </c>
      <c r="J22">
        <v>21</v>
      </c>
    </row>
    <row r="23" spans="1:10" x14ac:dyDescent="0.3">
      <c r="A23" s="15">
        <v>2021</v>
      </c>
      <c r="B23" s="3" t="s">
        <v>33</v>
      </c>
      <c r="C23" t="s">
        <v>23</v>
      </c>
      <c r="D23" t="s">
        <v>21</v>
      </c>
      <c r="E23">
        <v>32304</v>
      </c>
      <c r="F23" t="s">
        <v>22</v>
      </c>
      <c r="G23" s="1">
        <v>600</v>
      </c>
      <c r="H23" s="2" t="s">
        <v>12</v>
      </c>
      <c r="I23">
        <v>0</v>
      </c>
      <c r="J23">
        <v>22</v>
      </c>
    </row>
    <row r="24" spans="1:10" x14ac:dyDescent="0.3">
      <c r="A24" s="15">
        <v>2021</v>
      </c>
      <c r="B24" s="3" t="s">
        <v>34</v>
      </c>
      <c r="C24" t="s">
        <v>23</v>
      </c>
      <c r="D24" t="s">
        <v>21</v>
      </c>
      <c r="E24">
        <v>32304</v>
      </c>
      <c r="F24" t="s">
        <v>22</v>
      </c>
      <c r="G24" s="1">
        <v>600</v>
      </c>
      <c r="H24" s="2" t="s">
        <v>12</v>
      </c>
      <c r="I24">
        <v>0</v>
      </c>
      <c r="J24">
        <v>23</v>
      </c>
    </row>
    <row r="25" spans="1:10" x14ac:dyDescent="0.3">
      <c r="A25" s="15">
        <v>2021</v>
      </c>
      <c r="B25" s="3" t="s">
        <v>35</v>
      </c>
      <c r="C25" t="s">
        <v>23</v>
      </c>
      <c r="D25" t="s">
        <v>21</v>
      </c>
      <c r="E25">
        <v>32304</v>
      </c>
      <c r="F25" t="s">
        <v>22</v>
      </c>
      <c r="G25" s="1">
        <v>600</v>
      </c>
      <c r="H25" s="2" t="s">
        <v>12</v>
      </c>
      <c r="I25">
        <v>0</v>
      </c>
      <c r="J25">
        <v>24</v>
      </c>
    </row>
    <row r="26" spans="1:10" x14ac:dyDescent="0.3">
      <c r="A26" s="15">
        <v>2021</v>
      </c>
      <c r="B26" s="3" t="s">
        <v>10</v>
      </c>
      <c r="C26" t="s">
        <v>37</v>
      </c>
      <c r="D26" t="s">
        <v>21</v>
      </c>
      <c r="E26">
        <v>32310</v>
      </c>
      <c r="F26" t="s">
        <v>22</v>
      </c>
      <c r="G26" s="1">
        <v>1100</v>
      </c>
      <c r="H26" s="2" t="s">
        <v>12</v>
      </c>
      <c r="I26">
        <v>0</v>
      </c>
      <c r="J26">
        <v>25</v>
      </c>
    </row>
    <row r="27" spans="1:10" x14ac:dyDescent="0.3">
      <c r="A27" s="15">
        <v>2021</v>
      </c>
      <c r="B27" s="3" t="s">
        <v>20</v>
      </c>
      <c r="C27" t="s">
        <v>37</v>
      </c>
      <c r="D27" t="s">
        <v>21</v>
      </c>
      <c r="E27">
        <v>32310</v>
      </c>
      <c r="F27" t="s">
        <v>22</v>
      </c>
      <c r="G27" s="1">
        <v>1100</v>
      </c>
      <c r="H27" s="2" t="s">
        <v>12</v>
      </c>
      <c r="I27">
        <v>0</v>
      </c>
      <c r="J27">
        <v>26</v>
      </c>
    </row>
    <row r="28" spans="1:10" x14ac:dyDescent="0.3">
      <c r="A28" s="15">
        <v>2021</v>
      </c>
      <c r="B28" s="3" t="s">
        <v>13</v>
      </c>
      <c r="C28" t="s">
        <v>37</v>
      </c>
      <c r="D28" t="s">
        <v>21</v>
      </c>
      <c r="E28">
        <v>32310</v>
      </c>
      <c r="F28" t="s">
        <v>22</v>
      </c>
      <c r="G28" s="1">
        <v>1100</v>
      </c>
      <c r="H28" s="2" t="s">
        <v>12</v>
      </c>
      <c r="I28">
        <v>0</v>
      </c>
      <c r="J28">
        <v>27</v>
      </c>
    </row>
    <row r="29" spans="1:10" x14ac:dyDescent="0.3">
      <c r="A29" s="15">
        <v>2021</v>
      </c>
      <c r="B29" s="3" t="s">
        <v>29</v>
      </c>
      <c r="C29" t="s">
        <v>37</v>
      </c>
      <c r="D29" t="s">
        <v>21</v>
      </c>
      <c r="E29">
        <v>32310</v>
      </c>
      <c r="F29" t="s">
        <v>22</v>
      </c>
      <c r="G29" s="1">
        <v>1100</v>
      </c>
      <c r="H29" s="2" t="s">
        <v>12</v>
      </c>
      <c r="I29">
        <v>0</v>
      </c>
      <c r="J29">
        <v>28</v>
      </c>
    </row>
    <row r="30" spans="1:10" x14ac:dyDescent="0.3">
      <c r="A30" s="15">
        <v>2021</v>
      </c>
      <c r="B30" s="3" t="s">
        <v>14</v>
      </c>
      <c r="C30" t="s">
        <v>37</v>
      </c>
      <c r="D30" t="s">
        <v>21</v>
      </c>
      <c r="E30">
        <v>32310</v>
      </c>
      <c r="F30" t="s">
        <v>22</v>
      </c>
      <c r="G30" s="1">
        <v>1100</v>
      </c>
      <c r="H30" s="2" t="s">
        <v>12</v>
      </c>
      <c r="I30">
        <v>0</v>
      </c>
      <c r="J30">
        <v>29</v>
      </c>
    </row>
    <row r="31" spans="1:10" x14ac:dyDescent="0.3">
      <c r="A31" s="15">
        <v>2021</v>
      </c>
      <c r="B31" s="3" t="s">
        <v>15</v>
      </c>
      <c r="C31" t="s">
        <v>37</v>
      </c>
      <c r="D31" t="s">
        <v>21</v>
      </c>
      <c r="E31">
        <v>32310</v>
      </c>
      <c r="F31" t="s">
        <v>22</v>
      </c>
      <c r="G31" s="1">
        <v>1100</v>
      </c>
      <c r="H31" s="2" t="s">
        <v>12</v>
      </c>
      <c r="I31">
        <v>0</v>
      </c>
      <c r="J31">
        <v>30</v>
      </c>
    </row>
    <row r="32" spans="1:10" x14ac:dyDescent="0.3">
      <c r="A32" s="15">
        <v>2021</v>
      </c>
      <c r="B32" s="3" t="s">
        <v>30</v>
      </c>
      <c r="C32" t="s">
        <v>37</v>
      </c>
      <c r="D32" t="s">
        <v>21</v>
      </c>
      <c r="E32">
        <v>32310</v>
      </c>
      <c r="F32" t="s">
        <v>22</v>
      </c>
      <c r="G32" s="1">
        <v>0</v>
      </c>
      <c r="H32" s="2" t="s">
        <v>12</v>
      </c>
      <c r="I32">
        <v>0</v>
      </c>
      <c r="J32">
        <v>31</v>
      </c>
    </row>
    <row r="33" spans="1:10" x14ac:dyDescent="0.3">
      <c r="A33" s="15">
        <v>2021</v>
      </c>
      <c r="B33" s="3" t="s">
        <v>31</v>
      </c>
      <c r="C33" t="s">
        <v>37</v>
      </c>
      <c r="D33" t="s">
        <v>21</v>
      </c>
      <c r="E33">
        <v>32310</v>
      </c>
      <c r="F33" t="s">
        <v>22</v>
      </c>
      <c r="G33" s="1">
        <v>0</v>
      </c>
      <c r="H33" s="2" t="s">
        <v>12</v>
      </c>
      <c r="I33">
        <v>0</v>
      </c>
      <c r="J33">
        <v>32</v>
      </c>
    </row>
    <row r="34" spans="1:10" x14ac:dyDescent="0.3">
      <c r="A34" s="15">
        <v>2021</v>
      </c>
      <c r="B34" s="3" t="s">
        <v>32</v>
      </c>
      <c r="C34" t="s">
        <v>37</v>
      </c>
      <c r="D34" t="s">
        <v>21</v>
      </c>
      <c r="E34">
        <v>32310</v>
      </c>
      <c r="F34" t="s">
        <v>22</v>
      </c>
      <c r="G34" s="1">
        <v>1100</v>
      </c>
      <c r="H34" s="2" t="s">
        <v>12</v>
      </c>
      <c r="I34">
        <v>0</v>
      </c>
      <c r="J34">
        <v>33</v>
      </c>
    </row>
    <row r="35" spans="1:10" x14ac:dyDescent="0.3">
      <c r="A35" s="15">
        <v>2021</v>
      </c>
      <c r="B35" s="3" t="s">
        <v>33</v>
      </c>
      <c r="C35" t="s">
        <v>37</v>
      </c>
      <c r="D35" t="s">
        <v>21</v>
      </c>
      <c r="E35">
        <v>32310</v>
      </c>
      <c r="F35" t="s">
        <v>22</v>
      </c>
      <c r="G35" s="1">
        <v>1100</v>
      </c>
      <c r="H35" s="2" t="s">
        <v>12</v>
      </c>
      <c r="I35">
        <v>0</v>
      </c>
      <c r="J35">
        <v>34</v>
      </c>
    </row>
    <row r="36" spans="1:10" x14ac:dyDescent="0.3">
      <c r="A36" s="15">
        <v>2021</v>
      </c>
      <c r="B36" s="3" t="s">
        <v>34</v>
      </c>
      <c r="C36" t="s">
        <v>37</v>
      </c>
      <c r="D36" t="s">
        <v>21</v>
      </c>
      <c r="E36">
        <v>32310</v>
      </c>
      <c r="F36" t="s">
        <v>22</v>
      </c>
      <c r="G36" s="1">
        <v>1100</v>
      </c>
      <c r="H36" s="2" t="s">
        <v>12</v>
      </c>
      <c r="I36">
        <v>0</v>
      </c>
      <c r="J36">
        <v>35</v>
      </c>
    </row>
    <row r="37" spans="1:10" x14ac:dyDescent="0.3">
      <c r="A37" s="15">
        <v>2021</v>
      </c>
      <c r="B37" s="3" t="s">
        <v>35</v>
      </c>
      <c r="C37" t="s">
        <v>37</v>
      </c>
      <c r="D37" t="s">
        <v>21</v>
      </c>
      <c r="E37">
        <v>32310</v>
      </c>
      <c r="F37" t="s">
        <v>22</v>
      </c>
      <c r="G37" s="1">
        <v>1100</v>
      </c>
      <c r="H37" s="2" t="s">
        <v>12</v>
      </c>
      <c r="I37">
        <v>0</v>
      </c>
      <c r="J37">
        <v>36</v>
      </c>
    </row>
  </sheetData>
  <phoneticPr fontId="5"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84957-DAFA-41B4-A803-68EC5A8FB9C7}">
  <sheetPr codeName="Sheet9">
    <tabColor rgb="FF002060"/>
  </sheetPr>
  <dimension ref="A1:B3"/>
  <sheetViews>
    <sheetView workbookViewId="0">
      <selection activeCell="M16" sqref="M16"/>
    </sheetView>
  </sheetViews>
  <sheetFormatPr defaultRowHeight="14.4" x14ac:dyDescent="0.3"/>
  <cols>
    <col min="1" max="1" width="12.5546875" bestFit="1" customWidth="1"/>
    <col min="2" max="2" width="14.44140625" bestFit="1" customWidth="1"/>
  </cols>
  <sheetData>
    <row r="1" spans="1:2" x14ac:dyDescent="0.3">
      <c r="A1" s="9" t="s">
        <v>24</v>
      </c>
      <c r="B1" s="12" t="s">
        <v>26</v>
      </c>
    </row>
    <row r="2" spans="1:2" x14ac:dyDescent="0.3">
      <c r="A2" s="10">
        <v>2021</v>
      </c>
      <c r="B2" s="11">
        <v>31500</v>
      </c>
    </row>
    <row r="3" spans="1:2" x14ac:dyDescent="0.3">
      <c r="A3" s="10" t="s">
        <v>25</v>
      </c>
      <c r="B3" s="11">
        <v>31500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A58D1-91A5-4D01-BEE5-162DFFA4CCED}">
  <sheetPr codeName="Sheet10">
    <tabColor rgb="FF002060"/>
  </sheetPr>
  <dimension ref="A1:B14"/>
  <sheetViews>
    <sheetView workbookViewId="0">
      <selection activeCell="C12" sqref="C12"/>
    </sheetView>
  </sheetViews>
  <sheetFormatPr defaultRowHeight="14.4" x14ac:dyDescent="0.3"/>
  <cols>
    <col min="1" max="1" width="12.5546875" bestFit="1" customWidth="1"/>
    <col min="2" max="2" width="14.44140625" bestFit="1" customWidth="1"/>
  </cols>
  <sheetData>
    <row r="1" spans="1:2" x14ac:dyDescent="0.3">
      <c r="A1" s="9" t="s">
        <v>24</v>
      </c>
      <c r="B1" t="s">
        <v>26</v>
      </c>
    </row>
    <row r="2" spans="1:2" x14ac:dyDescent="0.3">
      <c r="A2" s="10" t="s">
        <v>10</v>
      </c>
      <c r="B2" s="11">
        <v>2700</v>
      </c>
    </row>
    <row r="3" spans="1:2" x14ac:dyDescent="0.3">
      <c r="A3" s="10" t="s">
        <v>20</v>
      </c>
      <c r="B3" s="11">
        <v>2700</v>
      </c>
    </row>
    <row r="4" spans="1:2" x14ac:dyDescent="0.3">
      <c r="A4" s="10" t="s">
        <v>13</v>
      </c>
      <c r="B4" s="11">
        <v>2700</v>
      </c>
    </row>
    <row r="5" spans="1:2" x14ac:dyDescent="0.3">
      <c r="A5" s="10" t="s">
        <v>15</v>
      </c>
      <c r="B5" s="11">
        <v>2600</v>
      </c>
    </row>
    <row r="6" spans="1:2" x14ac:dyDescent="0.3">
      <c r="A6" s="10" t="s">
        <v>14</v>
      </c>
      <c r="B6" s="11">
        <v>2700</v>
      </c>
    </row>
    <row r="7" spans="1:2" x14ac:dyDescent="0.3">
      <c r="A7" s="10" t="s">
        <v>29</v>
      </c>
      <c r="B7" s="11">
        <v>2700</v>
      </c>
    </row>
    <row r="8" spans="1:2" x14ac:dyDescent="0.3">
      <c r="A8" s="10" t="s">
        <v>30</v>
      </c>
      <c r="B8" s="11">
        <v>1500</v>
      </c>
    </row>
    <row r="9" spans="1:2" x14ac:dyDescent="0.3">
      <c r="A9" s="10" t="s">
        <v>31</v>
      </c>
      <c r="B9" s="11">
        <v>1600</v>
      </c>
    </row>
    <row r="10" spans="1:2" x14ac:dyDescent="0.3">
      <c r="A10" s="10" t="s">
        <v>32</v>
      </c>
      <c r="B10" s="11">
        <v>3200</v>
      </c>
    </row>
    <row r="11" spans="1:2" x14ac:dyDescent="0.3">
      <c r="A11" s="10" t="s">
        <v>33</v>
      </c>
      <c r="B11" s="11">
        <v>2700</v>
      </c>
    </row>
    <row r="12" spans="1:2" x14ac:dyDescent="0.3">
      <c r="A12" s="10" t="s">
        <v>34</v>
      </c>
      <c r="B12" s="11">
        <v>3200</v>
      </c>
    </row>
    <row r="13" spans="1:2" x14ac:dyDescent="0.3">
      <c r="A13" s="10" t="s">
        <v>35</v>
      </c>
      <c r="B13" s="11">
        <v>3200</v>
      </c>
    </row>
    <row r="14" spans="1:2" x14ac:dyDescent="0.3">
      <c r="A14" s="10" t="s">
        <v>25</v>
      </c>
      <c r="B14" s="11">
        <v>31500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6798B-7AD0-4C35-8227-EB5D0B77D543}">
  <sheetPr codeName="Sheet12">
    <tabColor rgb="FF002060"/>
  </sheetPr>
  <dimension ref="G15:H19"/>
  <sheetViews>
    <sheetView workbookViewId="0">
      <selection activeCell="G15" sqref="G15"/>
    </sheetView>
  </sheetViews>
  <sheetFormatPr defaultRowHeight="14.4" x14ac:dyDescent="0.3"/>
  <cols>
    <col min="7" max="7" width="22.6640625" bestFit="1" customWidth="1"/>
    <col min="8" max="8" width="14.44140625" bestFit="1" customWidth="1"/>
  </cols>
  <sheetData>
    <row r="15" spans="7:8" x14ac:dyDescent="0.3">
      <c r="G15" s="9" t="s">
        <v>24</v>
      </c>
      <c r="H15" t="s">
        <v>26</v>
      </c>
    </row>
    <row r="16" spans="7:8" x14ac:dyDescent="0.3">
      <c r="G16" s="10" t="s">
        <v>11</v>
      </c>
      <c r="H16" s="11">
        <v>13300</v>
      </c>
    </row>
    <row r="17" spans="7:8" x14ac:dyDescent="0.3">
      <c r="G17" s="10" t="s">
        <v>37</v>
      </c>
      <c r="H17" s="11">
        <v>11000</v>
      </c>
    </row>
    <row r="18" spans="7:8" x14ac:dyDescent="0.3">
      <c r="G18" s="10" t="s">
        <v>23</v>
      </c>
      <c r="H18" s="11">
        <v>7200</v>
      </c>
    </row>
    <row r="19" spans="7:8" x14ac:dyDescent="0.3">
      <c r="G19" s="10" t="s">
        <v>25</v>
      </c>
      <c r="H19" s="11">
        <v>31500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35A46-C6DD-4C62-8FC3-B0E1DE9EE580}">
  <sheetPr codeName="Sheet11">
    <tabColor rgb="FF002060"/>
  </sheetPr>
  <dimension ref="A1:B4"/>
  <sheetViews>
    <sheetView workbookViewId="0"/>
  </sheetViews>
  <sheetFormatPr defaultRowHeight="14.4" x14ac:dyDescent="0.3"/>
  <cols>
    <col min="1" max="1" width="12.5546875" bestFit="1" customWidth="1"/>
    <col min="2" max="3" width="14.44140625" bestFit="1" customWidth="1"/>
  </cols>
  <sheetData>
    <row r="1" spans="1:2" x14ac:dyDescent="0.3">
      <c r="A1" s="9" t="s">
        <v>24</v>
      </c>
      <c r="B1" t="s">
        <v>26</v>
      </c>
    </row>
    <row r="2" spans="1:2" x14ac:dyDescent="0.3">
      <c r="A2" s="10">
        <v>32304</v>
      </c>
      <c r="B2" s="11">
        <v>20500</v>
      </c>
    </row>
    <row r="3" spans="1:2" x14ac:dyDescent="0.3">
      <c r="A3" s="10">
        <v>32310</v>
      </c>
      <c r="B3" s="11">
        <v>11000</v>
      </c>
    </row>
    <row r="4" spans="1:2" x14ac:dyDescent="0.3">
      <c r="A4" s="10" t="s">
        <v>25</v>
      </c>
      <c r="B4" s="11">
        <v>31500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43BC9-9C55-4089-93AA-89D5DB34EAD5}">
  <sheetPr codeName="Sheet14">
    <tabColor rgb="FF002060"/>
  </sheetPr>
  <dimension ref="G18:H22"/>
  <sheetViews>
    <sheetView workbookViewId="0">
      <selection activeCell="G18" sqref="G18"/>
    </sheetView>
  </sheetViews>
  <sheetFormatPr defaultRowHeight="14.4" x14ac:dyDescent="0.3"/>
  <cols>
    <col min="7" max="7" width="22.6640625" bestFit="1" customWidth="1"/>
    <col min="8" max="8" width="15" bestFit="1" customWidth="1"/>
  </cols>
  <sheetData>
    <row r="18" spans="7:8" x14ac:dyDescent="0.3">
      <c r="G18" s="9" t="s">
        <v>24</v>
      </c>
      <c r="H18" t="s">
        <v>27</v>
      </c>
    </row>
    <row r="19" spans="7:8" x14ac:dyDescent="0.3">
      <c r="G19" s="10" t="s">
        <v>11</v>
      </c>
      <c r="H19" s="11">
        <v>40</v>
      </c>
    </row>
    <row r="20" spans="7:8" x14ac:dyDescent="0.3">
      <c r="G20" s="10" t="s">
        <v>37</v>
      </c>
      <c r="H20" s="11">
        <v>0</v>
      </c>
    </row>
    <row r="21" spans="7:8" x14ac:dyDescent="0.3">
      <c r="G21" s="10" t="s">
        <v>23</v>
      </c>
      <c r="H21" s="11">
        <v>80</v>
      </c>
    </row>
    <row r="22" spans="7:8" x14ac:dyDescent="0.3">
      <c r="G22" s="10" t="s">
        <v>25</v>
      </c>
      <c r="H22" s="11">
        <v>120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303A1-C1EF-40AB-9254-32E0FCB7B3AC}">
  <sheetPr codeName="Sheet15">
    <tabColor rgb="FF002060"/>
  </sheetPr>
  <dimension ref="A1:B4"/>
  <sheetViews>
    <sheetView workbookViewId="0">
      <selection activeCell="I17" sqref="I17"/>
    </sheetView>
  </sheetViews>
  <sheetFormatPr defaultRowHeight="14.4" x14ac:dyDescent="0.3"/>
  <cols>
    <col min="1" max="1" width="12.5546875" bestFit="1" customWidth="1"/>
    <col min="2" max="2" width="12.33203125" bestFit="1" customWidth="1"/>
  </cols>
  <sheetData>
    <row r="1" spans="1:2" x14ac:dyDescent="0.3">
      <c r="A1" s="9" t="s">
        <v>24</v>
      </c>
      <c r="B1" t="s">
        <v>28</v>
      </c>
    </row>
    <row r="2" spans="1:2" x14ac:dyDescent="0.3">
      <c r="A2" s="10" t="s">
        <v>12</v>
      </c>
      <c r="B2" s="11">
        <v>34</v>
      </c>
    </row>
    <row r="3" spans="1:2" x14ac:dyDescent="0.3">
      <c r="A3" s="10" t="s">
        <v>36</v>
      </c>
      <c r="B3" s="11">
        <v>2</v>
      </c>
    </row>
    <row r="4" spans="1:2" x14ac:dyDescent="0.3">
      <c r="A4" s="10" t="s">
        <v>25</v>
      </c>
      <c r="B4" s="11">
        <v>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6F7BD-9A5C-4F8B-B44E-E03AB490019A}">
  <sheetPr codeName="Sheet13"/>
  <dimension ref="A1"/>
  <sheetViews>
    <sheetView showGridLines="0" showRowColHeaders="0" tabSelected="1" zoomScaleNormal="100" workbookViewId="0">
      <selection activeCell="U14" sqref="U14"/>
    </sheetView>
  </sheetViews>
  <sheetFormatPr defaultRowHeight="14.4" x14ac:dyDescent="0.3"/>
  <cols>
    <col min="1" max="16384" width="8.88671875" style="8"/>
  </cols>
  <sheetData/>
  <pageMargins left="0.7" right="0.7" top="0.75" bottom="0.75" header="0.3" footer="0.3"/>
  <pageSetup paperSize="3" orientation="landscape" r:id="rId1"/>
  <drawing r:id="rId2"/>
  <extLst>
    <ext xmlns:x14="http://schemas.microsoft.com/office/spreadsheetml/2009/9/main" uri="{A8765BA9-456A-4dab-B4F3-ACF838C121DE}">
      <x14:slicerList>
        <x14:slicer r:id="rId3"/>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36C33-C90F-4F69-979C-D2570B5DADC7}">
  <sheetPr codeName="Sheet4">
    <tabColor theme="5" tint="-0.499984740745262"/>
  </sheetPr>
  <dimension ref="A1:J3"/>
  <sheetViews>
    <sheetView workbookViewId="0">
      <selection activeCell="G17" sqref="G17"/>
    </sheetView>
  </sheetViews>
  <sheetFormatPr defaultRowHeight="14.4" x14ac:dyDescent="0.3"/>
  <cols>
    <col min="3" max="3" width="9.5546875" customWidth="1"/>
    <col min="5" max="5" width="10.21875" customWidth="1"/>
    <col min="7" max="7" width="17.6640625" customWidth="1"/>
    <col min="8" max="8" width="9.77734375" customWidth="1"/>
    <col min="9" max="9" width="23.5546875" customWidth="1"/>
    <col min="10" max="10" width="11" customWidth="1"/>
  </cols>
  <sheetData>
    <row r="1" spans="1:10" x14ac:dyDescent="0.3">
      <c r="A1" s="4" t="s">
        <v>2</v>
      </c>
      <c r="B1" s="4" t="s">
        <v>0</v>
      </c>
      <c r="C1" s="4" t="s">
        <v>1</v>
      </c>
      <c r="D1" s="4" t="s">
        <v>6</v>
      </c>
      <c r="E1" s="4" t="s">
        <v>16</v>
      </c>
      <c r="F1" s="4" t="s">
        <v>8</v>
      </c>
      <c r="G1" s="4" t="s">
        <v>17</v>
      </c>
      <c r="H1" s="4" t="s">
        <v>3</v>
      </c>
      <c r="I1" s="4" t="s">
        <v>18</v>
      </c>
      <c r="J1" s="4" t="s">
        <v>19</v>
      </c>
    </row>
    <row r="2" spans="1:10" x14ac:dyDescent="0.3">
      <c r="A2">
        <v>2017</v>
      </c>
      <c r="B2" t="s">
        <v>13</v>
      </c>
      <c r="C2" t="s">
        <v>38</v>
      </c>
      <c r="D2" t="s">
        <v>21</v>
      </c>
      <c r="E2">
        <v>32304</v>
      </c>
      <c r="F2" t="s">
        <v>22</v>
      </c>
      <c r="G2" t="s">
        <v>39</v>
      </c>
      <c r="H2">
        <v>1000</v>
      </c>
      <c r="I2">
        <v>333</v>
      </c>
      <c r="J2">
        <v>1</v>
      </c>
    </row>
    <row r="3" spans="1:10" x14ac:dyDescent="0.3">
      <c r="A3">
        <v>2021</v>
      </c>
      <c r="B3" t="s">
        <v>31</v>
      </c>
      <c r="C3" t="s">
        <v>38</v>
      </c>
      <c r="D3" t="s">
        <v>21</v>
      </c>
      <c r="E3">
        <v>32304</v>
      </c>
      <c r="F3" t="s">
        <v>22</v>
      </c>
      <c r="G3" t="s">
        <v>40</v>
      </c>
      <c r="H3">
        <v>2000</v>
      </c>
      <c r="I3">
        <v>366</v>
      </c>
      <c r="J3">
        <v>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39F16-1B20-46F6-A491-CC0687F61039}">
  <sheetPr codeName="Sheet16">
    <tabColor rgb="FFFF0000"/>
  </sheetPr>
  <dimension ref="N20:O22"/>
  <sheetViews>
    <sheetView workbookViewId="0">
      <selection activeCell="O11" sqref="O11"/>
    </sheetView>
  </sheetViews>
  <sheetFormatPr defaultRowHeight="14.4" x14ac:dyDescent="0.3"/>
  <cols>
    <col min="14" max="14" width="12.5546875" bestFit="1" customWidth="1"/>
    <col min="15" max="15" width="14.44140625" bestFit="1" customWidth="1"/>
  </cols>
  <sheetData>
    <row r="20" spans="14:15" x14ac:dyDescent="0.3">
      <c r="N20" s="9" t="s">
        <v>24</v>
      </c>
      <c r="O20" t="s">
        <v>26</v>
      </c>
    </row>
    <row r="21" spans="14:15" x14ac:dyDescent="0.3">
      <c r="N21" s="10">
        <v>32304</v>
      </c>
      <c r="O21" s="11">
        <v>3000</v>
      </c>
    </row>
    <row r="22" spans="14:15" x14ac:dyDescent="0.3">
      <c r="N22" s="10" t="s">
        <v>25</v>
      </c>
      <c r="O22" s="11">
        <v>3000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6FEDC-23EF-4E88-B78B-76D0076F14A4}">
  <sheetPr codeName="Sheet17">
    <tabColor rgb="FFFF0000"/>
  </sheetPr>
  <dimension ref="G18:H20"/>
  <sheetViews>
    <sheetView workbookViewId="0">
      <selection activeCell="G18" sqref="G18"/>
    </sheetView>
  </sheetViews>
  <sheetFormatPr defaultRowHeight="14.4" x14ac:dyDescent="0.3"/>
  <cols>
    <col min="7" max="7" width="22.6640625" bestFit="1" customWidth="1"/>
    <col min="8" max="8" width="14.44140625" bestFit="1" customWidth="1"/>
  </cols>
  <sheetData>
    <row r="18" spans="7:8" x14ac:dyDescent="0.3">
      <c r="G18" s="9" t="s">
        <v>24</v>
      </c>
      <c r="H18" t="s">
        <v>26</v>
      </c>
    </row>
    <row r="19" spans="7:8" x14ac:dyDescent="0.3">
      <c r="G19" s="10" t="s">
        <v>38</v>
      </c>
      <c r="H19" s="11">
        <v>3000</v>
      </c>
    </row>
    <row r="20" spans="7:8" x14ac:dyDescent="0.3">
      <c r="G20" s="10" t="s">
        <v>25</v>
      </c>
      <c r="H20" s="11">
        <v>3000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79B836-A9A9-49D6-A910-87A7E7D6B4BE}">
  <sheetPr codeName="Sheet18">
    <tabColor rgb="FFFF0000"/>
  </sheetPr>
  <dimension ref="M17:N20"/>
  <sheetViews>
    <sheetView workbookViewId="0">
      <selection activeCell="L11" sqref="L11"/>
    </sheetView>
  </sheetViews>
  <sheetFormatPr defaultRowHeight="14.4" x14ac:dyDescent="0.3"/>
  <cols>
    <col min="13" max="13" width="12.5546875" bestFit="1" customWidth="1"/>
    <col min="14" max="14" width="14.44140625" bestFit="1" customWidth="1"/>
  </cols>
  <sheetData>
    <row r="17" spans="13:14" x14ac:dyDescent="0.3">
      <c r="M17" s="9" t="s">
        <v>24</v>
      </c>
      <c r="N17" t="s">
        <v>26</v>
      </c>
    </row>
    <row r="18" spans="13:14" x14ac:dyDescent="0.3">
      <c r="M18" s="10" t="s">
        <v>40</v>
      </c>
      <c r="N18" s="11">
        <v>2000</v>
      </c>
    </row>
    <row r="19" spans="13:14" x14ac:dyDescent="0.3">
      <c r="M19" s="10" t="s">
        <v>39</v>
      </c>
      <c r="N19" s="11">
        <v>1000</v>
      </c>
    </row>
    <row r="20" spans="13:14" x14ac:dyDescent="0.3">
      <c r="M20" s="10" t="s">
        <v>25</v>
      </c>
      <c r="N20" s="11">
        <v>3000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68255-FFE6-4FBB-989E-17FE76F04F12}">
  <sheetPr codeName="Sheet19">
    <tabColor rgb="FFFF0000"/>
  </sheetPr>
  <dimension ref="N20:O23"/>
  <sheetViews>
    <sheetView workbookViewId="0">
      <selection activeCell="L11" sqref="L11"/>
    </sheetView>
  </sheetViews>
  <sheetFormatPr defaultRowHeight="14.4" x14ac:dyDescent="0.3"/>
  <cols>
    <col min="14" max="14" width="12.5546875" bestFit="1" customWidth="1"/>
    <col min="15" max="15" width="14.44140625" bestFit="1" customWidth="1"/>
  </cols>
  <sheetData>
    <row r="20" spans="14:15" x14ac:dyDescent="0.3">
      <c r="N20" s="9" t="s">
        <v>24</v>
      </c>
      <c r="O20" t="s">
        <v>26</v>
      </c>
    </row>
    <row r="21" spans="14:15" x14ac:dyDescent="0.3">
      <c r="N21" s="10" t="s">
        <v>13</v>
      </c>
      <c r="O21" s="11">
        <v>1000</v>
      </c>
    </row>
    <row r="22" spans="14:15" x14ac:dyDescent="0.3">
      <c r="N22" s="10" t="s">
        <v>31</v>
      </c>
      <c r="O22" s="11">
        <v>2000</v>
      </c>
    </row>
    <row r="23" spans="14:15" x14ac:dyDescent="0.3">
      <c r="N23" s="10" t="s">
        <v>25</v>
      </c>
      <c r="O23" s="11">
        <v>3000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CB2E9-1711-4D8D-A655-BA2E2E42316A}">
  <sheetPr codeName="Sheet7"/>
  <dimension ref="A1"/>
  <sheetViews>
    <sheetView showRowColHeaders="0" zoomScaleNormal="100" workbookViewId="0">
      <selection activeCell="U20" sqref="U20"/>
    </sheetView>
  </sheetViews>
  <sheetFormatPr defaultRowHeight="14.4" x14ac:dyDescent="0.3"/>
  <cols>
    <col min="1" max="16384" width="8.88671875" style="8"/>
  </cols>
  <sheetData/>
  <pageMargins left="0.7" right="0.7" top="0.75" bottom="0.75" header="0.3" footer="0.3"/>
  <pageSetup paperSize="3" orientation="landscape"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Start</vt:lpstr>
      <vt:lpstr>Revenue Data</vt:lpstr>
      <vt:lpstr>Rent by year</vt:lpstr>
      <vt:lpstr>Rent by month</vt:lpstr>
      <vt:lpstr>Rent by street</vt:lpstr>
      <vt:lpstr>Rent by zip code</vt:lpstr>
      <vt:lpstr>Late fees</vt:lpstr>
      <vt:lpstr>Yes No late fees</vt:lpstr>
      <vt:lpstr>Revenue Dashboard</vt:lpstr>
      <vt:lpstr>Expense Data</vt:lpstr>
      <vt:lpstr>Expense by zipcode</vt:lpstr>
      <vt:lpstr>Expense by street</vt:lpstr>
      <vt:lpstr>Expense by type</vt:lpstr>
      <vt:lpstr>Expense by month</vt:lpstr>
      <vt:lpstr>Expense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sindi</dc:creator>
  <cp:lastModifiedBy>sindi</cp:lastModifiedBy>
  <cp:lastPrinted>2022-02-13T14:59:12Z</cp:lastPrinted>
  <dcterms:created xsi:type="dcterms:W3CDTF">2021-08-15T15:26:38Z</dcterms:created>
  <dcterms:modified xsi:type="dcterms:W3CDTF">2022-02-13T16:36:31Z</dcterms:modified>
</cp:coreProperties>
</file>