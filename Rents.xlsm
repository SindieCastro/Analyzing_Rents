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EAFA7077-A162-4C0A-9A52-445DB3A5631B}" xr6:coauthVersionLast="47" xr6:coauthVersionMax="47" xr10:uidLastSave="{00000000-0000-0000-0000-000000000000}"/>
  <bookViews>
    <workbookView xWindow="-20268" yWindow="60" windowWidth="20376" windowHeight="12216" tabRatio="799" firstSheet="9" activeTab="14"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r:id="rId11"/>
    <sheet name="Expense by street" sheetId="18" r:id="rId12"/>
    <sheet name="Expense by type" sheetId="19" r:id="rId13"/>
    <sheet name="Expense by month" sheetId="20" r:id="rId14"/>
    <sheet name="Expenses Dashboard" sheetId="7" r:id="rId15"/>
  </sheets>
  <definedNames>
    <definedName name="Slicer_Year">#N/A</definedName>
  </definedNames>
  <calcPr calcId="191029"/>
  <pivotCaches>
    <pivotCache cacheId="230" r:id="rId16"/>
    <pivotCache cacheId="239"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<sst xmlns="http://schemas.openxmlformats.org/spreadsheetml/2006/main" count="139" uniqueCount="51">
  <si>
    <t>Month</t>
  </si>
  <si>
    <t>Address</t>
  </si>
  <si>
    <t>Year</t>
  </si>
  <si>
    <t>Amount</t>
  </si>
  <si>
    <t>Late</t>
  </si>
  <si>
    <t>Late fees</t>
  </si>
  <si>
    <t>City</t>
  </si>
  <si>
    <t>Zip code</t>
  </si>
  <si>
    <t>State</t>
  </si>
  <si>
    <t>ID</t>
  </si>
  <si>
    <t>January</t>
  </si>
  <si>
    <t>8888 Atkinson Drive Apt. 1</t>
  </si>
  <si>
    <t>ghgfh</t>
  </si>
  <si>
    <t>Alabama</t>
  </si>
  <si>
    <t>No</t>
  </si>
  <si>
    <t>gfhfgh</t>
  </si>
  <si>
    <t>Alaska</t>
  </si>
  <si>
    <t>2017</t>
  </si>
  <si>
    <t>2019</t>
  </si>
  <si>
    <t>March</t>
  </si>
  <si>
    <t>9999 Crawford Trace</t>
  </si>
  <si>
    <t>fdgfhg</t>
  </si>
  <si>
    <t>Arizona</t>
  </si>
  <si>
    <t>1111 Rex Drive</t>
  </si>
  <si>
    <t>hgjhg</t>
  </si>
  <si>
    <t>California</t>
  </si>
  <si>
    <t>2020</t>
  </si>
  <si>
    <t>May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</si>
  <si>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</si>
  <si>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</si>
  <si>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</si>
  <si>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</si>
  <si>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</si>
  <si>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</si>
  <si>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</si>
  <si>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</si>
  <si>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</si>
  <si>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</si>
  <si>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</si>
  <si>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</si>
  <si>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</si>
  <si>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Row Labels</t>
  </si>
  <si>
    <t>Grand Total</t>
  </si>
  <si>
    <t>Sum of Amount</t>
  </si>
  <si>
    <t>Sum of Late fees</t>
  </si>
  <si>
    <t>2022</t>
  </si>
  <si>
    <t>Yes</t>
  </si>
  <si>
    <t>Count of Late</t>
  </si>
  <si>
    <t>cut tree</t>
  </si>
  <si>
    <t>fix sink pipe</t>
  </si>
  <si>
    <t>fix toilet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</si>
</sst>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7">
    <dxf>
      <font>
        <b/>
        <i val="0"/>
        <strike val="0"/>
        <condense val="0"/>
        <extend val="0"/>
        <outline val="0"/>
        <shadow val="0"/>
        <u val="none"/>
        <vertAlign val="baseline"/>
        <sz val="11"/>
        <color theme="1"/>
        <name val="Calibri"/>
        <family val="2"/>
        <scheme val="minor"/>
      </font>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2017</c:v>
                </c:pt>
              </c:strCache>
            </c:strRef>
          </c:cat>
          <c:val>
            <c:numRef>
              <c:f>'Rent by year'!$B$2:$B$3</c:f>
              <c:numCache>
                <c:formatCode>General</c:formatCode>
                <c:ptCount val="1"/>
                <c:pt idx="0">
                  <c:v>1400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month'!$A$2:$A$3</c:f>
              <c:strCache>
                <c:ptCount val="1"/>
                <c:pt idx="0">
                  <c:v>January</c:v>
                </c:pt>
              </c:strCache>
            </c:strRef>
          </c:cat>
          <c:val>
            <c:numRef>
              <c:f>'Rent by month'!$B$2:$B$3</c:f>
              <c:numCache>
                <c:formatCode>General</c:formatCode>
                <c:ptCount val="1"/>
                <c:pt idx="0">
                  <c:v>1400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street'!$G$16:$G$17</c:f>
              <c:strCache>
                <c:ptCount val="1"/>
                <c:pt idx="0">
                  <c:v>1111 Rex Drive</c:v>
                </c:pt>
              </c:strCache>
            </c:strRef>
          </c:cat>
          <c:val>
            <c:numRef>
              <c:f>'Rent by street'!$H$16:$H$17</c:f>
              <c:numCache>
                <c:formatCode>General</c:formatCode>
                <c:ptCount val="1"/>
                <c:pt idx="0">
                  <c:v>1400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32305</c:v>
                </c:pt>
                <c:pt idx="1">
                  <c:v>55555</c:v>
                </c:pt>
              </c:strCache>
            </c:strRef>
          </c:cat>
          <c:val>
            <c:numRef>
              <c:f>'Rent by zip code'!$B$2:$B$4</c:f>
              <c:numCache>
                <c:formatCode>General</c:formatCode>
                <c:ptCount val="2"/>
                <c:pt idx="0">
                  <c:v>500</c:v>
                </c:pt>
                <c:pt idx="1">
                  <c:v>900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fees'!$G$19:$G$20</c:f>
              <c:strCache>
                <c:ptCount val="1"/>
                <c:pt idx="0">
                  <c:v>1111 Rex Drive</c:v>
                </c:pt>
              </c:strCache>
            </c:strRef>
          </c:cat>
          <c:val>
            <c:numRef>
              <c:f>'Late fees'!$H$19:$H$20</c:f>
              <c:numCache>
                <c:formatCode>General</c:formatCode>
                <c:ptCount val="1"/>
                <c:pt idx="0">
                  <c:v>60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fees'!$A$2:$A$3</c:f>
              <c:strCache>
                <c:ptCount val="1"/>
                <c:pt idx="0">
                  <c:v>Yes</c:v>
                </c:pt>
              </c:strCache>
            </c:strRef>
          </c:cat>
          <c:val>
            <c:numRef>
              <c:f>'Yes No late fees'!$B$2:$B$3</c:f>
              <c:numCache>
                <c:formatCode>General</c:formatCode>
                <c:ptCount val="1"/>
                <c:pt idx="0">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zipcode'!$N$21:$N$23</c:f>
              <c:strCache>
                <c:ptCount val="2"/>
                <c:pt idx="0">
                  <c:v>32304</c:v>
                </c:pt>
                <c:pt idx="1">
                  <c:v>32305</c:v>
                </c:pt>
              </c:strCache>
            </c:strRef>
          </c:cat>
          <c:val>
            <c:numRef>
              <c:f>'Expense by zipcode'!$O$21:$O$23</c:f>
              <c:numCache>
                <c:formatCode>General</c:formatCode>
                <c:ptCount val="2"/>
                <c:pt idx="0">
                  <c:v>1300</c:v>
                </c:pt>
                <c:pt idx="1">
                  <c:v>1500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overlap val="-27"/>
        <c:axId val="1438944496"/>
        <c:axId val="1438938256"/>
      </c:barChart>
      <c:catAx>
        <c:axId val="143894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street'!$G$19:$G$22</c:f>
              <c:strCache>
                <c:ptCount val="3"/>
                <c:pt idx="0">
                  <c:v>1111 Rex Drive</c:v>
                </c:pt>
                <c:pt idx="1">
                  <c:v>8888 Atkinson Drive Apt. 2</c:v>
                </c:pt>
                <c:pt idx="2">
                  <c:v>8888 Atkinson Drive Apt. 3</c:v>
                </c:pt>
              </c:strCache>
            </c:strRef>
          </c:cat>
          <c:val>
            <c:numRef>
              <c:f>'Expense by street'!$H$19:$H$22</c:f>
              <c:numCache>
                <c:formatCode>General</c:formatCode>
                <c:ptCount val="3"/>
                <c:pt idx="0">
                  <c:v>1000</c:v>
                </c:pt>
                <c:pt idx="1">
                  <c:v>1500</c:v>
                </c:pt>
                <c:pt idx="2">
                  <c:v>300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type'!$M$18:$M$22</c:f>
              <c:strCache>
                <c:ptCount val="4"/>
                <c:pt idx="0">
                  <c:v>cut tree</c:v>
                </c:pt>
                <c:pt idx="1">
                  <c:v>fix sink pipe</c:v>
                </c:pt>
                <c:pt idx="2">
                  <c:v>fix toilet</c:v>
                </c:pt>
                <c:pt idx="3">
                  <c:v>new stove</c:v>
                </c:pt>
              </c:strCache>
            </c:strRef>
          </c:cat>
          <c:val>
            <c:numRef>
              <c:f>'Expense by type'!$N$18:$N$22</c:f>
              <c:numCache>
                <c:formatCode>General</c:formatCode>
                <c:ptCount val="4"/>
                <c:pt idx="0">
                  <c:v>300</c:v>
                </c:pt>
                <c:pt idx="1">
                  <c:v>300</c:v>
                </c:pt>
                <c:pt idx="2">
                  <c:v>1000</c:v>
                </c:pt>
                <c:pt idx="3">
                  <c:v>1200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month'!$N$21:$N$23</c:f>
              <c:strCache>
                <c:ptCount val="2"/>
                <c:pt idx="0">
                  <c:v>February</c:v>
                </c:pt>
                <c:pt idx="1">
                  <c:v>March</c:v>
                </c:pt>
              </c:strCache>
            </c:strRef>
          </c:cat>
          <c:val>
            <c:numRef>
              <c:f>'Expense by month'!$O$21:$O$23</c:f>
              <c:numCache>
                <c:formatCode>General</c:formatCode>
                <c:ptCount val="2"/>
                <c:pt idx="0">
                  <c:v>1600</c:v>
                </c:pt>
                <c:pt idx="1">
                  <c:v>1200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8</xdr:row>
          <xdr:rowOff>38100</xdr:rowOff>
        </xdr:from>
        <xdr:to>
          <xdr:col>4</xdr:col>
          <xdr:colOff>76200</xdr:colOff>
          <xdr:row>12</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Rents Dashboard</a:t>
              </a:r>
            </a:p>
          </xdr:txBody>
        </xdr:sp>
        <xdr:clientData fPrintsWithSheet="0"/>
      </xdr:twoCellAnchor>
    </mc:Choice>
    <mc:Fallback/>
  </mc:AlternateContent>
  <xdr:twoCellAnchor>
    <xdr:from>
      <xdr:col>0</xdr:col>
      <xdr:colOff>627061</xdr:colOff>
      <xdr:row>0</xdr:row>
      <xdr:rowOff>97080</xdr:rowOff>
    </xdr:from>
    <xdr:to>
      <xdr:col>7</xdr:col>
      <xdr:colOff>625474</xdr:colOff>
      <xdr:row>3</xdr:row>
      <xdr:rowOff>101844</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97080"/>
          <a:ext cx="4537442" cy="543293"/>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8</xdr:row>
          <xdr:rowOff>38100</xdr:rowOff>
        </xdr:from>
        <xdr:to>
          <xdr:col>7</xdr:col>
          <xdr:colOff>487680</xdr:colOff>
          <xdr:row>12</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Expenses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105835</xdr:colOff>
      <xdr:row>3</xdr:row>
      <xdr:rowOff>31750</xdr:rowOff>
    </xdr:from>
    <xdr:to>
      <xdr:col>20</xdr:col>
      <xdr:colOff>116417</xdr:colOff>
      <xdr:row>14</xdr:row>
      <xdr:rowOff>89482</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9787717" y="569632"/>
          <a:ext cx="2431053"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526676</xdr:colOff>
      <xdr:row>14</xdr:row>
      <xdr:rowOff>152398</xdr:rowOff>
    </xdr:from>
    <xdr:to>
      <xdr:col>20</xdr:col>
      <xdr:colOff>127363</xdr:colOff>
      <xdr:row>33</xdr:row>
      <xdr:rowOff>46794</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5972735" y="2662516"/>
          <a:ext cx="6256981" cy="33009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63199</xdr:colOff>
      <xdr:row>14</xdr:row>
      <xdr:rowOff>152398</xdr:rowOff>
    </xdr:from>
    <xdr:to>
      <xdr:col>9</xdr:col>
      <xdr:colOff>470648</xdr:colOff>
      <xdr:row>33</xdr:row>
      <xdr:rowOff>43541</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63199" y="2662516"/>
          <a:ext cx="5853508" cy="329773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538841</xdr:colOff>
      <xdr:row>3</xdr:row>
      <xdr:rowOff>33868</xdr:rowOff>
    </xdr:from>
    <xdr:to>
      <xdr:col>16</xdr:col>
      <xdr:colOff>64200</xdr:colOff>
      <xdr:row>14</xdr:row>
      <xdr:rowOff>91600</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5984900" y="571750"/>
          <a:ext cx="3761182"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338669</xdr:colOff>
      <xdr:row>3</xdr:row>
      <xdr:rowOff>31084</xdr:rowOff>
    </xdr:from>
    <xdr:to>
      <xdr:col>9</xdr:col>
      <xdr:colOff>476251</xdr:colOff>
      <xdr:row>14</xdr:row>
      <xdr:rowOff>89647</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2154022" y="568966"/>
          <a:ext cx="3768288" cy="2030799"/>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20</xdr:col>
      <xdr:colOff>119743</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2250783" cy="41583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3</xdr:col>
      <xdr:colOff>414746</xdr:colOff>
      <xdr:row>3</xdr:row>
      <xdr:rowOff>93436</xdr:rowOff>
    </xdr:from>
    <xdr:to>
      <xdr:col>6</xdr:col>
      <xdr:colOff>72862</xdr:colOff>
      <xdr:row>4</xdr:row>
      <xdr:rowOff>172114</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2256246" y="633186"/>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0</xdr:col>
      <xdr:colOff>118351</xdr:colOff>
      <xdr:row>15</xdr:row>
      <xdr:rowOff>16509</xdr:rowOff>
    </xdr:from>
    <xdr:to>
      <xdr:col>2</xdr:col>
      <xdr:colOff>390300</xdr:colOff>
      <xdr:row>16</xdr:row>
      <xdr:rowOff>97367</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18351" y="2715259"/>
          <a:ext cx="1499616" cy="26077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292826</xdr:colOff>
      <xdr:row>15</xdr:row>
      <xdr:rowOff>47895</xdr:rowOff>
    </xdr:from>
    <xdr:to>
      <xdr:col>12</xdr:col>
      <xdr:colOff>564775</xdr:colOff>
      <xdr:row>16</xdr:row>
      <xdr:rowOff>131715</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6431159" y="2746645"/>
          <a:ext cx="1499616" cy="263737"/>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10</xdr:col>
      <xdr:colOff>8104</xdr:colOff>
      <xdr:row>3</xdr:row>
      <xdr:rowOff>100753</xdr:rowOff>
    </xdr:from>
    <xdr:to>
      <xdr:col>12</xdr:col>
      <xdr:colOff>280053</xdr:colOff>
      <xdr:row>4</xdr:row>
      <xdr:rowOff>179431</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6146437" y="640503"/>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3</xdr:col>
      <xdr:colOff>465667</xdr:colOff>
      <xdr:row>5</xdr:row>
      <xdr:rowOff>67235</xdr:rowOff>
    </xdr:from>
    <xdr:to>
      <xdr:col>9</xdr:col>
      <xdr:colOff>486834</xdr:colOff>
      <xdr:row>14</xdr:row>
      <xdr:rowOff>22411</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304800</xdr:colOff>
      <xdr:row>16</xdr:row>
      <xdr:rowOff>110488</xdr:rowOff>
    </xdr:from>
    <xdr:to>
      <xdr:col>20</xdr:col>
      <xdr:colOff>76199</xdr:colOff>
      <xdr:row>32</xdr:row>
      <xdr:rowOff>87084</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101236</xdr:colOff>
      <xdr:row>17</xdr:row>
      <xdr:rowOff>15784</xdr:rowOff>
    </xdr:from>
    <xdr:to>
      <xdr:col>9</xdr:col>
      <xdr:colOff>457200</xdr:colOff>
      <xdr:row>31</xdr:row>
      <xdr:rowOff>152400</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3</xdr:col>
      <xdr:colOff>275167</xdr:colOff>
      <xdr:row>9</xdr:row>
      <xdr:rowOff>148167</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4450"/>
              <a:ext cx="2004222" cy="1177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351731</xdr:colOff>
      <xdr:row>6</xdr:row>
      <xdr:rowOff>79348</xdr:rowOff>
    </xdr:from>
    <xdr:to>
      <xdr:col>15</xdr:col>
      <xdr:colOff>84668</xdr:colOff>
      <xdr:row>14</xdr:row>
      <xdr:rowOff>34172</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193526</xdr:colOff>
      <xdr:row>3</xdr:row>
      <xdr:rowOff>87089</xdr:rowOff>
    </xdr:from>
    <xdr:to>
      <xdr:col>4</xdr:col>
      <xdr:colOff>491672</xdr:colOff>
      <xdr:row>5</xdr:row>
      <xdr:rowOff>10887</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8859" y="626839"/>
          <a:ext cx="298146" cy="283631"/>
        </a:xfrm>
        <a:prstGeom prst="rect">
          <a:avLst/>
        </a:prstGeom>
      </xdr:spPr>
    </xdr:pic>
    <xdr:clientData/>
  </xdr:twoCellAnchor>
  <xdr:twoCellAnchor editAs="oneCell">
    <xdr:from>
      <xdr:col>10</xdr:col>
      <xdr:colOff>350761</xdr:colOff>
      <xdr:row>3</xdr:row>
      <xdr:rowOff>89808</xdr:rowOff>
    </xdr:from>
    <xdr:to>
      <xdr:col>11</xdr:col>
      <xdr:colOff>22412</xdr:colOff>
      <xdr:row>4</xdr:row>
      <xdr:rowOff>174173</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401937" y="627690"/>
          <a:ext cx="276769" cy="263659"/>
        </a:xfrm>
        <a:prstGeom prst="rect">
          <a:avLst/>
        </a:prstGeom>
      </xdr:spPr>
    </xdr:pic>
    <xdr:clientData/>
  </xdr:twoCellAnchor>
  <xdr:twoCellAnchor editAs="oneCell">
    <xdr:from>
      <xdr:col>10</xdr:col>
      <xdr:colOff>581782</xdr:colOff>
      <xdr:row>15</xdr:row>
      <xdr:rowOff>32961</xdr:rowOff>
    </xdr:from>
    <xdr:to>
      <xdr:col>11</xdr:col>
      <xdr:colOff>276981</xdr:colOff>
      <xdr:row>16</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720115" y="2731711"/>
          <a:ext cx="309033" cy="299659"/>
        </a:xfrm>
        <a:prstGeom prst="rect">
          <a:avLst/>
        </a:prstGeom>
      </xdr:spPr>
    </xdr:pic>
    <xdr:clientData/>
  </xdr:twoCellAnchor>
  <xdr:twoCellAnchor editAs="oneCell">
    <xdr:from>
      <xdr:col>0</xdr:col>
      <xdr:colOff>458712</xdr:colOff>
      <xdr:row>14</xdr:row>
      <xdr:rowOff>173565</xdr:rowOff>
    </xdr:from>
    <xdr:to>
      <xdr:col>1</xdr:col>
      <xdr:colOff>164798</xdr:colOff>
      <xdr:row>16</xdr:row>
      <xdr:rowOff>119137</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58712" y="2692398"/>
          <a:ext cx="319919" cy="305406"/>
        </a:xfrm>
        <a:prstGeom prst="rect">
          <a:avLst/>
        </a:prstGeom>
      </xdr:spPr>
    </xdr:pic>
    <xdr:clientData/>
  </xdr:twoCellAnchor>
  <xdr:twoCellAnchor>
    <xdr:from>
      <xdr:col>16</xdr:col>
      <xdr:colOff>438574</xdr:colOff>
      <xdr:row>5</xdr:row>
      <xdr:rowOff>46146</xdr:rowOff>
    </xdr:from>
    <xdr:to>
      <xdr:col>19</xdr:col>
      <xdr:colOff>592668</xdr:colOff>
      <xdr:row>13</xdr:row>
      <xdr:rowOff>116417</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148168</xdr:colOff>
      <xdr:row>3</xdr:row>
      <xdr:rowOff>95251</xdr:rowOff>
    </xdr:from>
    <xdr:to>
      <xdr:col>18</xdr:col>
      <xdr:colOff>423333</xdr:colOff>
      <xdr:row>5</xdr:row>
      <xdr:rowOff>10584</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9969501" y="635001"/>
          <a:ext cx="1502832" cy="27516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16</xdr:col>
      <xdr:colOff>148169</xdr:colOff>
      <xdr:row>3</xdr:row>
      <xdr:rowOff>42335</xdr:rowOff>
    </xdr:from>
    <xdr:to>
      <xdr:col>16</xdr:col>
      <xdr:colOff>486834</xdr:colOff>
      <xdr:row>5</xdr:row>
      <xdr:rowOff>21167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969502" y="582085"/>
          <a:ext cx="338665" cy="3386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5FB5A5D1-2184-4203-9C80-4EB972E95863}"/>
            </a:ext>
          </a:extLst>
        </xdr:cNvPr>
        <xdr:cNvSpPr/>
      </xdr:nvSpPr>
      <xdr:spPr>
        <a:xfrm>
          <a:off x="8153400" y="2461260"/>
          <a:ext cx="3931920" cy="17830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33EAFA70-F2C8-401A-8099-F823C5A080A8}"/>
            </a:ext>
          </a:extLst>
        </xdr:cNvPr>
        <xdr:cNvSpPr/>
      </xdr:nvSpPr>
      <xdr:spPr>
        <a:xfrm>
          <a:off x="83820" y="2461260"/>
          <a:ext cx="3931920" cy="176022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8B56F88-9B59-40B2-BFDE-80DD44734A94}"/>
            </a:ext>
          </a:extLst>
        </xdr:cNvPr>
        <xdr:cNvSpPr/>
      </xdr:nvSpPr>
      <xdr:spPr>
        <a:xfrm>
          <a:off x="2278380" y="541020"/>
          <a:ext cx="9806940" cy="18211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E9594565-265E-4462-8E82-C49D9532713A}"/>
            </a:ext>
          </a:extLst>
        </xdr:cNvPr>
        <xdr:cNvSpPr/>
      </xdr:nvSpPr>
      <xdr:spPr>
        <a:xfrm>
          <a:off x="4107180" y="2453640"/>
          <a:ext cx="3931920" cy="17830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chemeClr val="tx1"/>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4122420" y="246888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91440" y="246888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8199120" y="249936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2346960" y="59436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129540</xdr:colOff>
      <xdr:row>15</xdr:row>
      <xdr:rowOff>53340</xdr:rowOff>
    </xdr:from>
    <xdr:to>
      <xdr:col>6</xdr:col>
      <xdr:colOff>289560</xdr:colOff>
      <xdr:row>22</xdr:row>
      <xdr:rowOff>121920</xdr:rowOff>
    </xdr:to>
    <xdr:graphicFrame macro="">
      <xdr:nvGraphicFramePr>
        <xdr:cNvPr id="20" name="Chart 1">
          <a:extLst>
            <a:ext uri="{FF2B5EF4-FFF2-40B4-BE49-F238E27FC236}">
              <a16:creationId xmlns:a16="http://schemas.microsoft.com/office/drawing/2014/main" id="{ED660F72-3CB8-469A-9A92-950D87E74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4AE59F07-F5C1-42D8-8465-0222795C34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AB346626-521D-4C17-B724-70B68ACA6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20E118F1-66C6-4087-BF6A-F6E5712F398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B7D79514-8D69-40B8-8BA2-3265623663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6E89661B-1DD5-40AB-ACA0-941A19A6E3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413CDDC5-C15E-4E73-A29A-7479D4F1532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50C289F5-6EBB-43B4-B02B-DFABE131AA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2951BD31-6D18-4043-BC28-927895A26C7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65F44935-80F5-4BB9-863F-BFECEBB7046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302960879628" createdVersion="7" refreshedVersion="7" minRefreshableVersion="3" recordCount="4" xr:uid="{B13442B2-6EC1-4181-9A10-C535AFFC2015}">
  <cacheSource type="worksheet">
    <worksheetSource name="Expense_Table"/>
  </cacheSource>
  <cacheFields count="10">
    <cacheField name="Year" numFmtId="0">
      <sharedItems containsSemiMixedTypes="0" containsString="0" containsNumber="1" containsInteger="1" minValue="2017" maxValue="2021"/>
    </cacheField>
    <cacheField name="Month" numFmtId="0">
      <sharedItems count="2">
        <s v="February"/>
        <s v="March"/>
      </sharedItems>
    </cacheField>
    <cacheField name="Address" numFmtId="0">
      <sharedItems count="3">
        <s v="8888 Atkinson Drive Apt. 3"/>
        <s v="1111 Rex Drive"/>
        <s v="8888 Atkinson Drive Apt. 2"/>
      </sharedItems>
    </cacheField>
    <cacheField name="City" numFmtId="0">
      <sharedItems containsBlank="1"/>
    </cacheField>
    <cacheField name="Zip Code" numFmtId="0">
      <sharedItems containsSemiMixedTypes="0" containsString="0" containsNumber="1" containsInteger="1" minValue="32304" maxValue="32305" count="2">
        <n v="32304"/>
        <n v="32305"/>
      </sharedItems>
    </cacheField>
    <cacheField name="State" numFmtId="0">
      <sharedItems/>
    </cacheField>
    <cacheField name="Type of Expenses" numFmtId="0">
      <sharedItems count="4">
        <s v="cut tree"/>
        <s v="fix toilet"/>
        <s v="fix sink pipe"/>
        <s v="new stove"/>
      </sharedItems>
    </cacheField>
    <cacheField name="Amount" numFmtId="0">
      <sharedItems containsSemiMixedTypes="0" containsString="0" containsNumber="1" containsInteger="1" minValue="300" maxValue="1200"/>
    </cacheField>
    <cacheField name="Receipt/ invoice number" numFmtId="0">
      <sharedItems containsSemiMixedTypes="0" containsString="0" containsNumber="1" containsInteger="1" minValue="333" maxValue="50236"/>
    </cacheField>
    <cacheField name="Record ID" numFmtId="0">
      <sharedItems containsSemiMixedTypes="0" containsString="0" containsNumber="1" containsInteger="1" minValue="5" maxValue="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2017"/>
    <x v="0"/>
    <x v="0"/>
    <s v="Tallahassee"/>
    <x v="0"/>
    <s v="Florida"/>
    <x v="0"/>
    <n v="300"/>
    <n v="50236"/>
    <n v="8"/>
  </r>
  <r>
    <n v="2021"/>
    <x v="0"/>
    <x v="1"/>
    <m/>
    <x v="0"/>
    <s v="Florida"/>
    <x v="1"/>
    <n v="1000"/>
    <n v="333"/>
    <n v="7"/>
  </r>
  <r>
    <n v="2021"/>
    <x v="0"/>
    <x v="2"/>
    <s v="Tallahassee"/>
    <x v="1"/>
    <s v="Florida"/>
    <x v="2"/>
    <n v="300"/>
    <n v="8889"/>
    <n v="6"/>
  </r>
  <r>
    <n v="2017"/>
    <x v="1"/>
    <x v="2"/>
    <s v="Tallahassee"/>
    <x v="1"/>
    <s v="Florida"/>
    <x v="3"/>
    <n v="1200"/>
    <n v="852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x="1"/>
        <item h="1" x="0"/>
        <item h="1" x="2"/>
        <item h="1"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1">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7"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x="1"/>
        <item h="1" x="0"/>
        <item h="1" x="2"/>
        <item h="1"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3">
    <i>
      <x/>
    </i>
    <i>
      <x v="2"/>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2">
    <i>
      <x/>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2">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pivotField showAll="0"/>
    <pivotField showAll="0"/>
    <pivotField showAll="0"/>
    <pivotField axis="axisRow" showAll="0">
      <items count="3">
        <item x="0"/>
        <item x="1"/>
        <item t="default"/>
      </items>
    </pivotField>
    <pivotField showAll="0"/>
    <pivotField showAll="0"/>
    <pivotField dataField="1" showAll="0"/>
    <pivotField showAll="0"/>
    <pivotField showAll="0"/>
  </pivotFields>
  <rowFields count="1">
    <field x="4"/>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2" firstHeaderRow="1" firstDataRow="1" firstDataCol="1"/>
  <pivotFields count="10">
    <pivotField showAll="0"/>
    <pivotField showAll="0"/>
    <pivotField axis="axisRow" showAll="0">
      <items count="4">
        <item x="1"/>
        <item x="2"/>
        <item x="0"/>
        <item t="default"/>
      </items>
    </pivotField>
    <pivotField showAll="0"/>
    <pivotField showAll="0"/>
    <pivotField showAll="0"/>
    <pivotField showAll="0"/>
    <pivotField dataField="1" showAll="0"/>
    <pivotField showAll="0"/>
    <pivotField showAll="0"/>
  </pivotFields>
  <rowFields count="1">
    <field x="2"/>
  </rowFields>
  <rowItems count="4">
    <i>
      <x/>
    </i>
    <i>
      <x v="1"/>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2" firstHeaderRow="1" firstDataRow="1" firstDataCol="1"/>
  <pivotFields count="10">
    <pivotField showAll="0"/>
    <pivotField showAll="0"/>
    <pivotField showAll="0"/>
    <pivotField showAll="0"/>
    <pivotField showAll="0"/>
    <pivotField showAll="0"/>
    <pivotField axis="axisRow" showAll="0">
      <items count="5">
        <item x="0"/>
        <item x="2"/>
        <item x="1"/>
        <item x="3"/>
        <item t="default"/>
      </items>
    </pivotField>
    <pivotField dataField="1" showAll="0"/>
    <pivotField showAll="0"/>
    <pivotField showAll="0"/>
  </pivotFields>
  <rowFields count="1">
    <field x="6"/>
  </rowFields>
  <rowItems count="5">
    <i>
      <x/>
    </i>
    <i>
      <x v="1"/>
    </i>
    <i>
      <x v="2"/>
    </i>
    <i>
      <x v="3"/>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pivotField axis="axisRow" showAll="0">
      <items count="3">
        <item x="0"/>
        <item x="1"/>
        <item t="default"/>
      </items>
    </pivotField>
    <pivotField showAll="0"/>
    <pivotField showAll="0"/>
    <pivotField showAll="0"/>
    <pivotField showAll="0"/>
    <pivotField showAll="0"/>
    <pivotField dataField="1" showAll="0"/>
    <pivotField showAll="0"/>
    <pivotField showAll="0"/>
  </pivotFields>
  <rowFields count="1">
    <field x="1"/>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s="1"/>
        <i x="0"/>
        <i x="2"/>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2">
  <autoFilter ref="A1:J9" xr:uid="{C92850AE-F3AD-4140-B124-18E2D4487EFF}"/>
  <tableColumns count="10">
    <tableColumn id="1" xr3:uid="{8D63D74C-5AA0-4729-9115-88E3E1644724}" name="Year" dataDxfId="6"/>
    <tableColumn id="2" xr3:uid="{E2851BAF-F640-4AA9-A2C7-C525FB3B8744}" name="Month" dataDxfId="5"/>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4" dataCellStyle="Currency"/>
    <tableColumn id="8" xr3:uid="{FB8C474C-A48D-40A1-A183-70F15C5EB15A}" name="Late" dataDxfId="3"/>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5" totalsRowShown="0" headerRowDxfId="0">
  <autoFilter ref="A1:J5"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B2:H3"/>
  <sheetViews>
    <sheetView zoomScale="135" zoomScaleNormal="135" workbookViewId="0">
      <selection activeCell="H15" sqref="H15"/>
    </sheetView>
  </sheetViews>
  <sheetFormatPr defaultColWidth="9.109375" defaultRowHeight="14.4" x14ac:dyDescent="0.3"/>
  <cols>
    <col min="1" max="16384" width="9.109375" style="13"/>
  </cols>
  <sheetData>
    <row r="2" spans="2:8" x14ac:dyDescent="0.3">
      <c r="B2" s="13" t="s">
        <v>10</v>
      </c>
      <c r="C2" s="13" t="s">
        <v>11</v>
      </c>
      <c r="D2" s="13" t="s">
        <v>12</v>
      </c>
      <c r="E2" s="13">
        <v>32305</v>
      </c>
      <c r="F2" s="13" t="s">
        <v>13</v>
      </c>
      <c r="G2" s="13">
        <v>300</v>
      </c>
      <c r="H2" s="13" t="s">
        <v>14</v>
      </c>
    </row>
    <row r="3" spans="2:8" x14ac:dyDescent="0.3">
      <c r="B3" s="13" t="s">
        <v>10</v>
      </c>
      <c r="C3" s="13" t="s">
        <v>11</v>
      </c>
      <c r="D3" s="13" t="s">
        <v>15</v>
      </c>
      <c r="E3" s="13">
        <v>32305</v>
      </c>
      <c r="F3" s="13" t="s">
        <v>16</v>
      </c>
      <c r="G3" s="13">
        <v>300</v>
      </c>
      <c r="H3" s="13" t="s">
        <v>14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Dashboard">
                <anchor moveWithCells="1" sizeWithCells="1">
                  <from>
                    <xdr:col>1</xdr:col>
                    <xdr:colOff>30480</xdr:colOff>
                    <xdr:row>8</xdr:row>
                    <xdr:rowOff>38100</xdr:rowOff>
                  </from>
                  <to>
                    <xdr:col>4</xdr:col>
                    <xdr:colOff>76200</xdr:colOff>
                    <xdr:row>12</xdr:row>
                    <xdr:rowOff>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Dashboard">
                <anchor moveWithCells="1" sizeWithCells="1">
                  <from>
                    <xdr:col>4</xdr:col>
                    <xdr:colOff>441960</xdr:colOff>
                    <xdr:row>8</xdr:row>
                    <xdr:rowOff>38100</xdr:rowOff>
                  </from>
                  <to>
                    <xdr:col>7</xdr:col>
                    <xdr:colOff>487680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9"/>
  <sheetViews>
    <sheetView workbookViewId="0">
      <selection activeCell="E19" sqref="E1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18</v>
      </c>
      <c r="B2" s="3" t="s">
        <v>19</v>
      </c>
      <c r="C2" t="s">
        <v>20</v>
      </c>
      <c r="D2" t="s">
        <v>21</v>
      </c>
      <c r="E2">
        <v>32355</v>
      </c>
      <c r="F2" t="s">
        <v>22</v>
      </c>
      <c r="G2" s="1">
        <v>800</v>
      </c>
      <c r="H2" s="2" t="s">
        <v>14</v>
      </c>
      <c r="I2">
        <v>0</v>
      </c>
      <c r="J2">
        <v>3</v>
      </c>
    </row>
    <row r="3" spans="1:10" x14ac:dyDescent="0.3">
      <c r="A3" s="3" t="s">
        <v>17</v>
      </c>
      <c r="B3" s="3" t="s">
        <v>10</v>
      </c>
      <c r="C3" t="s">
        <v>23</v>
      </c>
      <c r="D3" t="s">
        <v>24</v>
      </c>
      <c r="E3">
        <v>55555</v>
      </c>
      <c r="F3" t="s">
        <v>25</v>
      </c>
      <c r="G3" s="1">
        <v>900</v>
      </c>
      <c r="H3" s="2" t="s">
        <v>46</v>
      </c>
      <c r="I3">
        <v>20</v>
      </c>
      <c r="J3">
        <v>5</v>
      </c>
    </row>
    <row r="4" spans="1:10" x14ac:dyDescent="0.3">
      <c r="A4" s="3" t="s">
        <v>26</v>
      </c>
      <c r="B4" s="3" t="s">
        <v>28</v>
      </c>
      <c r="C4" t="s">
        <v>23</v>
      </c>
      <c r="D4" t="s">
        <v>29</v>
      </c>
      <c r="E4">
        <v>99999</v>
      </c>
      <c r="F4" t="s">
        <v>25</v>
      </c>
      <c r="G4" s="1">
        <v>800</v>
      </c>
      <c r="H4" s="2" t="s">
        <v>14</v>
      </c>
      <c r="I4">
        <v>0</v>
      </c>
      <c r="J4">
        <v>8</v>
      </c>
    </row>
    <row r="5" spans="1:10" x14ac:dyDescent="0.3">
      <c r="A5" s="3" t="s">
        <v>17</v>
      </c>
      <c r="B5" s="3" t="s">
        <v>10</v>
      </c>
      <c r="C5" t="s">
        <v>23</v>
      </c>
      <c r="D5" t="s">
        <v>12</v>
      </c>
      <c r="E5">
        <v>32305</v>
      </c>
      <c r="F5" t="s">
        <v>13</v>
      </c>
      <c r="G5" s="1">
        <v>500</v>
      </c>
      <c r="H5" s="2" t="s">
        <v>46</v>
      </c>
      <c r="I5">
        <v>40</v>
      </c>
      <c r="J5">
        <v>11</v>
      </c>
    </row>
    <row r="6" spans="1:10" x14ac:dyDescent="0.3">
      <c r="A6" s="3" t="s">
        <v>38</v>
      </c>
      <c r="B6" s="3" t="s">
        <v>34</v>
      </c>
      <c r="C6" t="s">
        <v>11</v>
      </c>
      <c r="D6" t="s">
        <v>36</v>
      </c>
      <c r="E6">
        <v>32305</v>
      </c>
      <c r="F6" t="s">
        <v>37</v>
      </c>
      <c r="G6" s="1">
        <v>300</v>
      </c>
      <c r="H6" s="2" t="s">
        <v>14</v>
      </c>
      <c r="I6">
        <v>0</v>
      </c>
      <c r="J6">
        <v>12</v>
      </c>
    </row>
    <row r="7" spans="1:10" x14ac:dyDescent="0.3">
      <c r="A7" s="3" t="s">
        <v>45</v>
      </c>
      <c r="B7" s="3" t="s">
        <v>28</v>
      </c>
      <c r="D7" t="s">
        <v>36</v>
      </c>
      <c r="E7">
        <v>32304</v>
      </c>
      <c r="G7" s="1">
        <v>1000</v>
      </c>
      <c r="H7" s="2" t="s">
        <v>14</v>
      </c>
      <c r="I7">
        <v>0</v>
      </c>
      <c r="J7">
        <v>13</v>
      </c>
    </row>
    <row r="8" spans="1:10" x14ac:dyDescent="0.3">
      <c r="A8" s="3" t="s">
        <v>38</v>
      </c>
      <c r="B8" s="3" t="s">
        <v>27</v>
      </c>
      <c r="C8" t="s">
        <v>20</v>
      </c>
      <c r="D8" t="s">
        <v>36</v>
      </c>
      <c r="E8">
        <v>32305</v>
      </c>
      <c r="F8" t="s">
        <v>37</v>
      </c>
      <c r="G8" s="1">
        <v>700</v>
      </c>
      <c r="H8" s="2" t="s">
        <v>46</v>
      </c>
      <c r="I8">
        <v>30</v>
      </c>
      <c r="J8">
        <v>14</v>
      </c>
    </row>
    <row r="9" spans="1:10" x14ac:dyDescent="0.3">
      <c r="A9" s="3" t="s">
        <v>45</v>
      </c>
      <c r="B9" s="3" t="s">
        <v>10</v>
      </c>
      <c r="C9" t="s">
        <v>35</v>
      </c>
      <c r="D9" t="s">
        <v>36</v>
      </c>
      <c r="E9">
        <v>32304</v>
      </c>
      <c r="F9" t="s">
        <v>37</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41</v>
      </c>
      <c r="B1" s="12" t="s">
        <v>43</v>
      </c>
    </row>
    <row r="2" spans="1:2" x14ac:dyDescent="0.3">
      <c r="A2" s="10" t="s">
        <v>17</v>
      </c>
      <c r="B2" s="11">
        <v>1400</v>
      </c>
    </row>
    <row r="3" spans="1:2" x14ac:dyDescent="0.3">
      <c r="A3" s="10" t="s">
        <v>42</v>
      </c>
      <c r="B3" s="11">
        <v>1400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3"/>
  <sheetViews>
    <sheetView workbookViewId="0"/>
  </sheetViews>
  <sheetFormatPr defaultRowHeight="14.4" x14ac:dyDescent="0.3"/>
  <cols>
    <col min="1" max="1" width="12.5546875" bestFit="1" customWidth="1"/>
    <col min="2" max="2" width="14.44140625" bestFit="1" customWidth="1"/>
  </cols>
  <sheetData>
    <row r="1" spans="1:2" x14ac:dyDescent="0.3">
      <c r="A1" s="9" t="s">
        <v>41</v>
      </c>
      <c r="B1" t="s">
        <v>43</v>
      </c>
    </row>
    <row r="2" spans="1:2" x14ac:dyDescent="0.3">
      <c r="A2" s="10" t="s">
        <v>10</v>
      </c>
      <c r="B2" s="11">
        <v>1400</v>
      </c>
    </row>
    <row r="3" spans="1:2" x14ac:dyDescent="0.3">
      <c r="A3" s="10" t="s">
        <v>42</v>
      </c>
      <c r="B3" s="11">
        <v>1400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7"/>
  <sheetViews>
    <sheetView workbookViewId="0">
      <selection activeCell="G15" sqref="G15"/>
    </sheetView>
  </sheetViews>
  <sheetFormatPr defaultRowHeight="14.4" x14ac:dyDescent="0.3"/>
  <cols>
    <col min="7" max="7" width="13.21875" bestFit="1" customWidth="1"/>
    <col min="8" max="8" width="14.44140625" bestFit="1" customWidth="1"/>
  </cols>
  <sheetData>
    <row r="15" spans="7:8" x14ac:dyDescent="0.3">
      <c r="G15" s="9" t="s">
        <v>41</v>
      </c>
      <c r="H15" t="s">
        <v>43</v>
      </c>
    </row>
    <row r="16" spans="7:8" x14ac:dyDescent="0.3">
      <c r="G16" s="10" t="s">
        <v>23</v>
      </c>
      <c r="H16" s="11">
        <v>1400</v>
      </c>
    </row>
    <row r="17" spans="7:8" x14ac:dyDescent="0.3">
      <c r="G17" s="10" t="s">
        <v>42</v>
      </c>
      <c r="H17" s="11">
        <v>1400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41</v>
      </c>
      <c r="B1" t="s">
        <v>43</v>
      </c>
    </row>
    <row r="2" spans="1:2" x14ac:dyDescent="0.3">
      <c r="A2" s="10">
        <v>32305</v>
      </c>
      <c r="B2" s="11">
        <v>500</v>
      </c>
    </row>
    <row r="3" spans="1:2" x14ac:dyDescent="0.3">
      <c r="A3" s="10">
        <v>55555</v>
      </c>
      <c r="B3" s="11">
        <v>900</v>
      </c>
    </row>
    <row r="4" spans="1:2" x14ac:dyDescent="0.3">
      <c r="A4" s="10" t="s">
        <v>42</v>
      </c>
      <c r="B4" s="11">
        <v>1400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0"/>
  <sheetViews>
    <sheetView workbookViewId="0">
      <selection activeCell="G18" sqref="G18"/>
    </sheetView>
  </sheetViews>
  <sheetFormatPr defaultRowHeight="14.4" x14ac:dyDescent="0.3"/>
  <cols>
    <col min="7" max="7" width="13.21875" bestFit="1" customWidth="1"/>
    <col min="8" max="8" width="15" bestFit="1" customWidth="1"/>
  </cols>
  <sheetData>
    <row r="18" spans="7:8" x14ac:dyDescent="0.3">
      <c r="G18" s="9" t="s">
        <v>41</v>
      </c>
      <c r="H18" t="s">
        <v>44</v>
      </c>
    </row>
    <row r="19" spans="7:8" x14ac:dyDescent="0.3">
      <c r="G19" s="10" t="s">
        <v>23</v>
      </c>
      <c r="H19" s="11">
        <v>60</v>
      </c>
    </row>
    <row r="20" spans="7:8" x14ac:dyDescent="0.3">
      <c r="G20" s="10" t="s">
        <v>42</v>
      </c>
      <c r="H20" s="11">
        <v>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3"/>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41</v>
      </c>
      <c r="B1" t="s">
        <v>47</v>
      </c>
    </row>
    <row r="2" spans="1:2" x14ac:dyDescent="0.3">
      <c r="A2" s="10" t="s">
        <v>46</v>
      </c>
      <c r="B2" s="11">
        <v>2</v>
      </c>
    </row>
    <row r="3" spans="1:2" x14ac:dyDescent="0.3">
      <c r="A3" s="10" t="s">
        <v>42</v>
      </c>
      <c r="B3"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zoomScale="68" zoomScaleNormal="68" workbookViewId="0">
      <selection activeCell="Z23" sqref="Z23"/>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5"/>
  <sheetViews>
    <sheetView workbookViewId="0">
      <selection activeCell="I21" sqref="I21"/>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30</v>
      </c>
      <c r="F1" s="4" t="s">
        <v>8</v>
      </c>
      <c r="G1" s="4" t="s">
        <v>31</v>
      </c>
      <c r="H1" s="4" t="s">
        <v>3</v>
      </c>
      <c r="I1" s="4" t="s">
        <v>32</v>
      </c>
      <c r="J1" s="4" t="s">
        <v>33</v>
      </c>
    </row>
    <row r="2" spans="1:10" x14ac:dyDescent="0.3">
      <c r="A2">
        <v>2017</v>
      </c>
      <c r="B2" t="s">
        <v>34</v>
      </c>
      <c r="C2" t="s">
        <v>35</v>
      </c>
      <c r="D2" t="s">
        <v>36</v>
      </c>
      <c r="E2">
        <v>32304</v>
      </c>
      <c r="F2" t="s">
        <v>37</v>
      </c>
      <c r="G2" t="s">
        <v>48</v>
      </c>
      <c r="H2">
        <v>300</v>
      </c>
      <c r="I2">
        <v>50236</v>
      </c>
      <c r="J2">
        <v>8</v>
      </c>
    </row>
    <row r="3" spans="1:10" x14ac:dyDescent="0.3">
      <c r="A3">
        <v>2021</v>
      </c>
      <c r="B3" t="s">
        <v>34</v>
      </c>
      <c r="C3" t="s">
        <v>23</v>
      </c>
      <c r="E3">
        <v>32304</v>
      </c>
      <c r="F3" t="s">
        <v>37</v>
      </c>
      <c r="G3" t="s">
        <v>50</v>
      </c>
      <c r="H3">
        <v>1000</v>
      </c>
      <c r="I3">
        <v>333</v>
      </c>
      <c r="J3">
        <v>7</v>
      </c>
    </row>
    <row r="4" spans="1:10" x14ac:dyDescent="0.3">
      <c r="A4">
        <v>2021</v>
      </c>
      <c r="B4" t="s">
        <v>34</v>
      </c>
      <c r="C4" t="s">
        <v>39</v>
      </c>
      <c r="D4" t="s">
        <v>36</v>
      </c>
      <c r="E4">
        <v>32305</v>
      </c>
      <c r="F4" t="s">
        <v>37</v>
      </c>
      <c r="G4" t="s">
        <v>49</v>
      </c>
      <c r="H4">
        <v>300</v>
      </c>
      <c r="I4">
        <v>8889</v>
      </c>
      <c r="J4">
        <v>6</v>
      </c>
    </row>
    <row r="5" spans="1:10" x14ac:dyDescent="0.3">
      <c r="A5">
        <v>2017</v>
      </c>
      <c r="B5" t="s">
        <v>19</v>
      </c>
      <c r="C5" t="s">
        <v>39</v>
      </c>
      <c r="D5" t="s">
        <v>36</v>
      </c>
      <c r="E5">
        <v>32305</v>
      </c>
      <c r="F5" t="s">
        <v>37</v>
      </c>
      <c r="G5" t="s">
        <v>40</v>
      </c>
      <c r="H5">
        <v>1200</v>
      </c>
      <c r="I5">
        <v>8524</v>
      </c>
      <c r="J5">
        <v>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3"/>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41</v>
      </c>
      <c r="O20" t="s">
        <v>43</v>
      </c>
    </row>
    <row r="21" spans="14:15" x14ac:dyDescent="0.3">
      <c r="N21" s="10">
        <v>32304</v>
      </c>
      <c r="O21" s="11">
        <v>1300</v>
      </c>
    </row>
    <row r="22" spans="14:15" x14ac:dyDescent="0.3">
      <c r="N22" s="10">
        <v>32305</v>
      </c>
      <c r="O22" s="11">
        <v>1500</v>
      </c>
    </row>
    <row r="23" spans="14:15" x14ac:dyDescent="0.3">
      <c r="N23" s="10" t="s">
        <v>42</v>
      </c>
      <c r="O23" s="11">
        <v>2800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2"/>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41</v>
      </c>
      <c r="H18" t="s">
        <v>43</v>
      </c>
    </row>
    <row r="19" spans="7:8" x14ac:dyDescent="0.3">
      <c r="G19" s="10" t="s">
        <v>23</v>
      </c>
      <c r="H19" s="11">
        <v>1000</v>
      </c>
    </row>
    <row r="20" spans="7:8" x14ac:dyDescent="0.3">
      <c r="G20" s="10" t="s">
        <v>39</v>
      </c>
      <c r="H20" s="11">
        <v>1500</v>
      </c>
    </row>
    <row r="21" spans="7:8" x14ac:dyDescent="0.3">
      <c r="G21" s="10" t="s">
        <v>35</v>
      </c>
      <c r="H21" s="11">
        <v>300</v>
      </c>
    </row>
    <row r="22" spans="7:8" x14ac:dyDescent="0.3">
      <c r="G22" s="10" t="s">
        <v>42</v>
      </c>
      <c r="H22" s="11">
        <v>2800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2"/>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41</v>
      </c>
      <c r="N17" t="s">
        <v>43</v>
      </c>
    </row>
    <row r="18" spans="13:14" x14ac:dyDescent="0.3">
      <c r="M18" s="10" t="s">
        <v>48</v>
      </c>
      <c r="N18" s="11">
        <v>300</v>
      </c>
    </row>
    <row r="19" spans="13:14" x14ac:dyDescent="0.3">
      <c r="M19" s="10" t="s">
        <v>49</v>
      </c>
      <c r="N19" s="11">
        <v>300</v>
      </c>
    </row>
    <row r="20" spans="13:14" x14ac:dyDescent="0.3">
      <c r="M20" s="10" t="s">
        <v>50</v>
      </c>
      <c r="N20" s="11">
        <v>1000</v>
      </c>
    </row>
    <row r="21" spans="13:14" x14ac:dyDescent="0.3">
      <c r="M21" s="10" t="s">
        <v>40</v>
      </c>
      <c r="N21" s="11">
        <v>1200</v>
      </c>
    </row>
    <row r="22" spans="13:14" x14ac:dyDescent="0.3">
      <c r="M22" s="10" t="s">
        <v>42</v>
      </c>
      <c r="N22" s="11">
        <v>2800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3"/>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41</v>
      </c>
      <c r="O20" t="s">
        <v>43</v>
      </c>
    </row>
    <row r="21" spans="14:15" x14ac:dyDescent="0.3">
      <c r="N21" s="10" t="s">
        <v>34</v>
      </c>
      <c r="O21" s="11">
        <v>1600</v>
      </c>
    </row>
    <row r="22" spans="14:15" x14ac:dyDescent="0.3">
      <c r="N22" s="10" t="s">
        <v>19</v>
      </c>
      <c r="O22" s="11">
        <v>1200</v>
      </c>
    </row>
    <row r="23" spans="14:15" x14ac:dyDescent="0.3">
      <c r="N23" s="10" t="s">
        <v>42</v>
      </c>
      <c r="O23" s="11">
        <v>2800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tabSelected="1" workbookViewId="0">
      <selection activeCell="C9" sqref="C9"/>
    </sheetView>
  </sheetViews>
  <sheetFormatPr defaultRowHeight="14.4" x14ac:dyDescent="0.3"/>
  <cols>
    <col min="1" max="16384" width="8.88671875" style="8"/>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2022-02-13T13:56:52Z</dcterms:modified>
</cp:coreProperties>
</file>